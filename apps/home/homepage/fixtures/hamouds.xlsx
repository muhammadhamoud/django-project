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muhammad.hamoud\Desktop\ng\backend\project\apps\home\homepage\fixtures\"/>
    </mc:Choice>
  </mc:AlternateContent>
  <xr:revisionPtr revIDLastSave="0" documentId="13_ncr:1_{D15A97BE-6C55-4B97-A0DA-3E2FC9B0849D}" xr6:coauthVersionLast="47" xr6:coauthVersionMax="47" xr10:uidLastSave="{00000000-0000-0000-0000-000000000000}"/>
  <bookViews>
    <workbookView xWindow="-120" yWindow="-120" windowWidth="29040" windowHeight="17520" tabRatio="660" activeTab="10" xr2:uid="{00000000-000D-0000-FFFF-FFFF00000000}"/>
  </bookViews>
  <sheets>
    <sheet name="site" sheetId="1" r:id="rId1"/>
    <sheet name="sitemetadata" sheetId="7" r:id="rId2"/>
    <sheet name="project" sheetId="11" r:id="rId3"/>
    <sheet name="business_category" sheetId="12" r:id="rId4"/>
    <sheet name="teammember" sheetId="10" r:id="rId5"/>
    <sheet name="service" sheetId="2" r:id="rId6"/>
    <sheet name="marketing" sheetId="3" r:id="rId7"/>
    <sheet name="feature" sheetId="8" r:id="rId8"/>
    <sheet name="framework" sheetId="14" r:id="rId9"/>
    <sheet name="offering" sheetId="5" r:id="rId10"/>
    <sheet name="testimonial" sheetId="9" r:id="rId11"/>
    <sheet name="all"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8" l="1"/>
  <c r="F4" i="8"/>
  <c r="F5" i="8"/>
  <c r="F6" i="8"/>
  <c r="F7" i="8"/>
  <c r="F8" i="8"/>
  <c r="F2" i="8"/>
  <c r="G4" i="5"/>
  <c r="G5" i="5"/>
  <c r="G6" i="5"/>
  <c r="G7" i="5"/>
  <c r="G3" i="5"/>
  <c r="F8" i="14"/>
  <c r="F9" i="14"/>
  <c r="F10" i="14"/>
  <c r="F7" i="14"/>
  <c r="F3" i="3"/>
  <c r="F4" i="3"/>
  <c r="F5" i="3"/>
  <c r="F2" i="3"/>
  <c r="M3" i="10"/>
  <c r="M4" i="10"/>
  <c r="M2" i="10"/>
  <c r="N2" i="7"/>
</calcChain>
</file>

<file path=xl/sharedStrings.xml><?xml version="1.0" encoding="utf-8"?>
<sst xmlns="http://schemas.openxmlformats.org/spreadsheetml/2006/main" count="364" uniqueCount="276">
  <si>
    <t>name</t>
  </si>
  <si>
    <t>description</t>
  </si>
  <si>
    <t>company_name</t>
  </si>
  <si>
    <t>keywords</t>
  </si>
  <si>
    <t>ROI Technology LLC.</t>
  </si>
  <si>
    <t>name_ar</t>
  </si>
  <si>
    <t>description_ar</t>
  </si>
  <si>
    <t>address</t>
  </si>
  <si>
    <t>telephone</t>
  </si>
  <si>
    <t>mobile</t>
  </si>
  <si>
    <t>fax</t>
  </si>
  <si>
    <t>email</t>
  </si>
  <si>
    <t>website</t>
  </si>
  <si>
    <t>sales_email</t>
  </si>
  <si>
    <t>technical_email</t>
  </si>
  <si>
    <t>accounts_email</t>
  </si>
  <si>
    <t>UAE, Dubai, DIFC, Sheikh Zayed Road, Emirates Tower</t>
  </si>
  <si>
    <t>icon</t>
  </si>
  <si>
    <t>license_number</t>
  </si>
  <si>
    <t>vat_number</t>
  </si>
  <si>
    <t>register_number</t>
  </si>
  <si>
    <t>job_title</t>
  </si>
  <si>
    <t>bio</t>
  </si>
  <si>
    <t>job_title_ar</t>
  </si>
  <si>
    <t>bio_ar</t>
  </si>
  <si>
    <t>phone_number</t>
  </si>
  <si>
    <t>whatsapp</t>
  </si>
  <si>
    <t>linkedin</t>
  </si>
  <si>
    <t>twitter</t>
  </si>
  <si>
    <t>facebook</t>
  </si>
  <si>
    <t>instagram</t>
  </si>
  <si>
    <t>github</t>
  </si>
  <si>
    <t>medium</t>
  </si>
  <si>
    <t>مدير المبيعات والتسويق</t>
  </si>
  <si>
    <t>company</t>
  </si>
  <si>
    <t>content</t>
  </si>
  <si>
    <t>company_ar</t>
  </si>
  <si>
    <t>content_ar</t>
  </si>
  <si>
    <t>category</t>
  </si>
  <si>
    <t>client</t>
  </si>
  <si>
    <t>Managing Director</t>
  </si>
  <si>
    <t>Director Sales and Marketing</t>
  </si>
  <si>
    <t>مدير إداري</t>
  </si>
  <si>
    <t>971503250175</t>
  </si>
  <si>
    <t>logo</t>
  </si>
  <si>
    <t>person</t>
  </si>
  <si>
    <t>image</t>
  </si>
  <si>
    <t>Software Development</t>
  </si>
  <si>
    <t>Hardware Integration</t>
  </si>
  <si>
    <t>Mobile App Development</t>
  </si>
  <si>
    <t>Pattern Design</t>
  </si>
  <si>
    <t>User Experience (UX) Design</t>
  </si>
  <si>
    <t>Data Analytics</t>
  </si>
  <si>
    <t>Integration Development</t>
  </si>
  <si>
    <t>Customer Support</t>
  </si>
  <si>
    <t>Localization</t>
  </si>
  <si>
    <t>Sustainability &amp; CSR</t>
  </si>
  <si>
    <t>تطوير البرمجيات</t>
  </si>
  <si>
    <t>تكامل الأجهزة</t>
  </si>
  <si>
    <t>تطوير تطبيقات الجوال</t>
  </si>
  <si>
    <t>تصميم النماذج</t>
  </si>
  <si>
    <t>تصميم تجربة المستخدم (UX)</t>
  </si>
  <si>
    <t>تحليلات البيانات</t>
  </si>
  <si>
    <t>تطوير التكامل</t>
  </si>
  <si>
    <t>دعم العملاء</t>
  </si>
  <si>
    <t>التعريب</t>
  </si>
  <si>
    <t>الاستدامة والمسؤولية الاجتماعية للشركات (CSR)</t>
  </si>
  <si>
    <t>Section</t>
  </si>
  <si>
    <t>Content</t>
  </si>
  <si>
    <t>About Hamouds</t>
  </si>
  <si>
    <t>- Introduction to Hamouds and its mission.&lt;br&gt;- Overview of the technology stack used.&lt;br&gt;- Company values and commitments to clients.</t>
  </si>
  <si>
    <t>Services</t>
  </si>
  <si>
    <t>- Custom Website Design and Development&lt;br&gt;- Website Redesign and Optimization&lt;br&gt;- E-commerce Solutions&lt;br&gt;- Maintenance and Support</t>
  </si>
  <si>
    <t>Features</t>
  </si>
  <si>
    <t>- Modern Design Aesthetics&lt;br&gt;- Cross-Platform Compatibility&lt;br&gt;- Scalability and Performance&lt;br&gt;- User-Friendly CMS&lt;br&gt;- SEO Optimization</t>
  </si>
  <si>
    <t>Products and Offerings</t>
  </si>
  <si>
    <t>- Custom Web Applications&lt;br&gt;- E-commerce Platforms&lt;br&gt;- Content Management Systems (CMS)&lt;br&gt;- Responsive Websites</t>
  </si>
  <si>
    <t>Marketing Content</t>
  </si>
  <si>
    <t>- Blog Posts&lt;br&gt;- Case Studies&lt;br&gt;- Whitepapers and Guides&lt;br&gt;- Social Media Presence&lt;br&gt;- Email Newsletters</t>
  </si>
  <si>
    <t>Why Choose Hamouds</t>
  </si>
  <si>
    <t>- Expertise in State-of-the-Art Technologies&lt;br&gt;- Customized Solutions&lt;br&gt;- Dedicated Support&lt;br&gt;- Proven Track Record</t>
  </si>
  <si>
    <t>Contact Information</t>
  </si>
  <si>
    <t>- Contact details for inquiries, consultations, and support services&lt;br&gt;- Links to social media profiles</t>
  </si>
  <si>
    <t>Custom Website Design and Development</t>
  </si>
  <si>
    <t>Website Redesign and Optimization</t>
  </si>
  <si>
    <t>E-commerce Solutions</t>
  </si>
  <si>
    <t>Maintenance and Support</t>
  </si>
  <si>
    <t>Modern Design Aesthetics</t>
  </si>
  <si>
    <t>Sleek and visually appealing interfaces crafted with Material Design principles.</t>
  </si>
  <si>
    <t>Cross-Platform Compatibility</t>
  </si>
  <si>
    <t>Compatibility across various devices and browsers.</t>
  </si>
  <si>
    <t>Scalable architecture for handling growing traffic and data.</t>
  </si>
  <si>
    <t>Optimized performance for faster loading times.</t>
  </si>
  <si>
    <t>Scalability</t>
  </si>
  <si>
    <t>Performance</t>
  </si>
  <si>
    <t>User-Friendly CMS</t>
  </si>
  <si>
    <t>Intuitive content management systems for easy website updates.</t>
  </si>
  <si>
    <t>SEO Optimization</t>
  </si>
  <si>
    <t>Implementation of SEO best practices for higher search engine rankings.</t>
  </si>
  <si>
    <t>Accessibility</t>
  </si>
  <si>
    <t>Content Management Systems (CMS)</t>
  </si>
  <si>
    <t>Expertise in State-of-the-Art Technologies</t>
  </si>
  <si>
    <t>Proficiency in Angular, Material Design, Bootstrap, and Django Python.</t>
  </si>
  <si>
    <t>Customized Solutions</t>
  </si>
  <si>
    <t>Tailoring solutions to fit each client's unique requirements.</t>
  </si>
  <si>
    <t>Dedicated Support</t>
  </si>
  <si>
    <t>Providing ongoing support and assistance throughout the project lifecycle.</t>
  </si>
  <si>
    <t>Proven Track Record</t>
  </si>
  <si>
    <t>Demonstrated success through satisfied client testimonials and case studies.</t>
  </si>
  <si>
    <t>amjad@hamouds.com</t>
  </si>
  <si>
    <t>location</t>
  </si>
  <si>
    <t>United Arab Emirates, Dubai</t>
  </si>
  <si>
    <t>Jordan, Amman</t>
  </si>
  <si>
    <t>ashraf@hamouds.com</t>
  </si>
  <si>
    <t>محمود الحمود</t>
  </si>
  <si>
    <t>mahmoud@hamouds.com</t>
  </si>
  <si>
    <t>Regional Director</t>
  </si>
  <si>
    <t>مدير إقليمي</t>
  </si>
  <si>
    <t>- Utilizing Angular, Material Design, Bootstrap, and Django Python to create tailored web solutions.&lt;br&gt;- Responsive designs for optimal viewing across all devices.&lt;br&gt;- Integration of cutting-edge features and functionalities.</t>
  </si>
  <si>
    <t>- Upgrading existing websites to modern standards.&lt;br&gt;- Optimizing for speed, performance, and user experience.</t>
  </si>
  <si>
    <t>- Developing secure and scalable e-commerce platforms.&lt;br&gt;- Integration with payment gateways and inventory management systems.</t>
  </si>
  <si>
    <t>- Ongoing maintenance services to ensure website functionality and security.&lt;br&gt;- Technical support for troubleshooting and updates.</t>
  </si>
  <si>
    <t>- Design and development of native or hybrid mobile applications for iOS and Android platforms.&lt;br&gt;- Integration of advanced features and third-party APIs for enhanced functionality.&lt;br&gt;- Responsive layouts for consistent user experience across devices.</t>
  </si>
  <si>
    <t>Web Application Development</t>
  </si>
  <si>
    <t>- Building feature-rich web applications tailored to client specifications.&lt;br&gt;- Utilizing modern frameworks and technologies for robust and scalable solutions.&lt;br&gt;- Integration with existing systems and databases for seamless data flow.</t>
  </si>
  <si>
    <t>API Development and Integration</t>
  </si>
  <si>
    <t>- Designing and developing RESTful APIs for seamless communication between different software systems.&lt;br&gt;- Integration of APIs with web and mobile applications for data exchange and functionality enhancement.&lt;br&gt;- Ensuring security and scalability of APIs.</t>
  </si>
  <si>
    <t>- Development and customization of user-friendly CMS platforms for easy content management.&lt;br&gt;- Integration of CMS with websites for efficient content updates and publishing.&lt;br&gt;- Training and support for clients in utilizing CMS features effectively.</t>
  </si>
  <si>
    <t>UI/UX Design Services</t>
  </si>
  <si>
    <t>- Creation of intuitive and visually appealing user interfaces (UI) following best design practices.&lt;br&gt;- User experience (UX) research and design to optimize usability and satisfaction.&lt;br&gt;- Wireframing, prototyping, and user testing for iterative improvements.</t>
  </si>
  <si>
    <t>Cloud-Based Solutions</t>
  </si>
  <si>
    <t>- Designing and implementing cloud-based solutions for storage, hosting, and computing needs.&lt;br&gt;- Utilizing cloud platforms like AWS, Azure, or Google Cloud for scalability and flexibility.&lt;br&gt;- Migration of existing systems to the cloud for improved performance and cost-efficiency.</t>
  </si>
  <si>
    <t>Ensuring websites are accessible to users with disabilities, following WCAG guidelines for compliance.</t>
  </si>
  <si>
    <t>Tailored Web Solutions</t>
  </si>
  <si>
    <t>Customized web applications designed to precisely meet the unique needs and objectives of your business.</t>
  </si>
  <si>
    <t>Scalable E-commerce Solutions</t>
  </si>
  <si>
    <t>Robust e-commerce platforms engineered for scalability, enabling seamless growth and expansion for online businesses.</t>
  </si>
  <si>
    <t>Intuitive Content Management</t>
  </si>
  <si>
    <t>Streamlined content management systems (CMS) that empower effortless content updates and publishing.</t>
  </si>
  <si>
    <t>Seamless Responsive Websites</t>
  </si>
  <si>
    <t>Engaging websites meticulously crafted to deliver a flawless browsing experience across all devices – desktops, tablets, and mobile.</t>
  </si>
  <si>
    <t>Native or hybrid mobile applications designed to provide an exceptional user experience on iOS and Android platforms, tailored to your business requirements.</t>
  </si>
  <si>
    <t>Welcome to Hamouds – Your Gateway to Innovative Web Solutions.  Transforming Ideas into Digital Reality with Cutting-Edge Technologies</t>
  </si>
  <si>
    <t>الحمود</t>
  </si>
  <si>
    <t>support@hamouds.com</t>
  </si>
  <si>
    <t>www.hamouds.com</t>
  </si>
  <si>
    <t>تصميم وتطوير مواقع الويب المخصصة</t>
  </si>
  <si>
    <t>إعادة تصميم وتحسين المواقع الإلكترونية</t>
  </si>
  <si>
    <t>حلول التجارة الإلكترونية</t>
  </si>
  <si>
    <t>صيانة ودعم</t>
  </si>
  <si>
    <t>تطوير تطبيقات الويب</t>
  </si>
  <si>
    <t>تطوير ودمج واجهات برمجة التطبيقات (API)</t>
  </si>
  <si>
    <t>أنظمة إدارة المحتوى (CMS)</t>
  </si>
  <si>
    <t>خدمات تصميم وتجربة المستخدم (UI/UX)</t>
  </si>
  <si>
    <t>حلول مبتكرة قائمة على السحابة</t>
  </si>
  <si>
    <t>- استخدام Angular وتصميم المواد وBootstrap وDjango Python لإنشاء حلول ويب مخصصة.&lt;br&gt;- تصميمات متجاوبة لعرض مثالي عبر جميع الأجهزة.&lt;br&gt;- دمج ميزات ووظائف حديثة.</t>
  </si>
  <si>
    <t>- ترقية المواقع الإلكترونية الحالية إلى المعايير الحديثة.&lt;br&gt;- تحسين السرعة والأداء وتجربة المستخدم.</t>
  </si>
  <si>
    <t>- تطوير منصات التجارة الإلكترونية الآمنة والقابلة للتوسع.&lt;br&gt;- دمج مع بوابات الدفع وأنظمة إدارة المخزون.</t>
  </si>
  <si>
    <t>- خدمات الصيانة المستمرة لضمان وظائف الموقع الإلكتروني وأمانه.&lt;br&gt;- الدعم الفني لإصلاح المشاكل والتحديثات.</t>
  </si>
  <si>
    <t>- تصميم وتطوير تطبيقات الجوال الأصلية أو الهجينة لمنصات iOS و Android.&lt;br&gt;- دمج ميزات متقدمة وواجهات برمجة تطبيقات من الطرف الثالث لتعزيز الوظائف.&lt;br&gt;- تخطيطات متجاوبة لتجربة مستخدم متسقة عبر الأجهزة.</t>
  </si>
  <si>
    <t>- بناء تطبيقات ويب غنية بالميزات مصممة حسب مواصفات العميل.&lt;br&gt;- استخدام الأطر الحديثة والتقنيات لحلول قوية وقابلة للتوسع.&lt;br&gt;- دمج مع الأنظمة وقواعد البيانات الحالية لتدفق بيانات سلس.</t>
  </si>
  <si>
    <t>- تصميم وتطوير واجهات برمجة تطبيقات موجهة للموارد للتواصل السلس بين أنظمة البرمجيات المختلفة.&lt;br&gt;- دمج واجهات برمجة تطبيقات موجهة للموارد مع تطبيقات الويب والجوال لتبادل البيانات وتعزيز الوظائف.&lt;br&gt;- ضمان أمان وقابلية للتوسع لواجهات برمجة تطبيقات موجهة للموارد.</t>
  </si>
  <si>
    <t>- تصميم وتنفيذ حلول مستندة إلى السحابة لاحتياجات التخزين والاستضافة والحوسبة.&lt;br&gt;- استخدام منصات السحابة مثل AWS و Azure أو Google Cloud للتوسع والمرونة.&lt;br&gt;- ترحيل الأنظمة الحالية إلى السحابة لتحسين الأداء وكفاءة التكلفة.</t>
  </si>
  <si>
    <t>- تطوير وتخصيص منصات إدارة المحتوى سهلة الاستخدام لإدارة المحتوى بسهولة.&lt;br&gt;- دمج منصات إدارة المحتوى مع المواقع الإلكترونية لتحديث ونشر المحتوى بكفاءة.&lt;br&gt;- تدريب ودعم العملاء في استخدام ميزات إدارة المحتوى بفعالية.</t>
  </si>
  <si>
    <t>- إنشاء واجهات مستخدم (UI) بديهية وجذابة بصرياً تتبع أفضل الممارسات التصميمية.&lt;br&gt;- بحث وتصميم تجربة المستخدم (UX) لتحسين الاستخدام والرضا.&lt;br&gt;- رسم الأسلاك، وإنشاء نماذج أولية، واختبار المستخدم لتحسينات تكرارية.</t>
  </si>
  <si>
    <t>الخبرة في تقنيات الحالة الفنية</t>
  </si>
  <si>
    <t>اجادة في Angular, تصميم المواد, Bootstrap, و Django Python.</t>
  </si>
  <si>
    <t>حلول مخصصة</t>
  </si>
  <si>
    <t>تصميم حلول مخصصة لتلبية متطلبات كل عميل بشكل فريد.</t>
  </si>
  <si>
    <t>دعم مكرس</t>
  </si>
  <si>
    <t>تقديم الدعم المستمر والمساعدة طوال دورة حياة المشروع.</t>
  </si>
  <si>
    <t>سجل حافل بالنجاح</t>
  </si>
  <si>
    <t>إظهار النجاح من خلال شهادات عملاء راضين ودراسات الحالة.</t>
  </si>
  <si>
    <t>الجماليات التصميم الحديثة</t>
  </si>
  <si>
    <t>واجهات سلسة وجذابة بصرياً مصممة وفقًا لمبادئ تصميم المواد.</t>
  </si>
  <si>
    <t>التوافق عبر المنصات</t>
  </si>
  <si>
    <t>التوافق عبر مختلف الأجهزة والمتصفحات.</t>
  </si>
  <si>
    <t>التوسعية</t>
  </si>
  <si>
    <t>تصميم معمارية قابلة للتوسيع للتعامل مع الزيادة في حركة المرور والبيانات.</t>
  </si>
  <si>
    <t>الأداء</t>
  </si>
  <si>
    <t>أداء محسّن لأوقات التحميل الأسرع.</t>
  </si>
  <si>
    <t>أنظمة إدارة المحتوى سهلة الاستخدام</t>
  </si>
  <si>
    <t>أنظمة إدارة المحتوى البديهية لتحديثات موقع الويب بسهولة.</t>
  </si>
  <si>
    <t>تحسين محركات البحث</t>
  </si>
  <si>
    <t>تنفيذ أفضل الممارسات في تحسين محركات البحث لتحقيق تصنيفات أعلى في نتائج البحث.</t>
  </si>
  <si>
    <t>الوصولية</t>
  </si>
  <si>
    <t>ضمان أن المواقع قابلة للوصول للمستخدمين ذوي الإعاقة، وفقاً لإرشادات WCAG للامتثال.</t>
  </si>
  <si>
    <t>حلول الويب المخصصة</t>
  </si>
  <si>
    <t>تطبيقات ويب مخصصة مصممة لتلبية بدقة الاحتياجات والأهداف الفريدة لعملك.</t>
  </si>
  <si>
    <t>منصات تجارة إلكترونية قوية مصممة للتوسيع، مما يمكّن النمو السلس والتوسع للأعمال التجارية عبر الإنترنت.</t>
  </si>
  <si>
    <t>أنظمة إدارة المحتوى المبسطة (CMS) التي تمنح القوة لتحديثات المحتوى ونشره بسهولة.</t>
  </si>
  <si>
    <t>مواقع ويب جذابة مصممة بدقة لتوفير تجربة تصفح خالية من العيوب عبر جميع الأجهزة - أجهزة سطح المكتب والأجهزة اللوحية والهواتف المحمولة.</t>
  </si>
  <si>
    <t>تطبيقات هواتف محمولة أصلية أو هجينة مصممة لتوفير تجربة مستخدم استثنائية على منصات iOS و Android، مصممة حسب متطلبات عملك.</t>
  </si>
  <si>
    <t>https://sindbadstores.com/</t>
  </si>
  <si>
    <t>Sindbad stores</t>
  </si>
  <si>
    <t>سندباد ستورز</t>
  </si>
  <si>
    <t>Darwash Co</t>
  </si>
  <si>
    <t>DarwashCo offers top-quality prefab solutions in the Gulf region. Our expert team specializes in efficient Pre-Fabricated Houses. Choose DarwashCo for simplicity, precision manufacturing, and innovative prefab construction, making your project cost-effective and hassle-free.</t>
  </si>
  <si>
    <t>https://darwashco.com/</t>
  </si>
  <si>
    <t>دروش كو</t>
  </si>
  <si>
    <t>Your one-stop destination for all things exclusive in Jordan! Explore our wide range of products designed to make your life easier and more efficient. From cutting-edge gadgets to essential appliances, we've got you covered. Shop with confidence and convenience, knowing that quality and reliability are our top priorities.</t>
  </si>
  <si>
    <t xml:space="preserve"> وجهة واحدة لجميع المنتجات الحصرية في الأردن! استكشف مجموعتنا الواسعة من المنتجات المصممة لتسهيل حياتك وجعلها أكثر كفاءة. من الأجهزة المبتكرة إلى الأجهزة الأساسية، نحن هنا لنلبي احتياجاتك. تسوق بثقة وراحة بال، على علم بأن الجودة والموثوقية هما أولويتنا الأساسية.</t>
  </si>
  <si>
    <t>دارواشكو تقدم حلول مسبقة الصنع عالية الجودة في منطقة الخليج. يتخصص فريقنا المتخصص في بيوت مسبقة الصنع فعالة. اختر دارواشكو للبساطة والتصنيع الدقيق والبناء المسبق المبتكر، مما يجعل مشروعك فعالًا من حيث التكلفة وخاليًا من المتاعب.</t>
  </si>
  <si>
    <t>localization</t>
  </si>
  <si>
    <t>software_development</t>
  </si>
  <si>
    <t>hardware_integration</t>
  </si>
  <si>
    <t>mobile_app_development</t>
  </si>
  <si>
    <t>pattern_design</t>
  </si>
  <si>
    <t>user_experience_design</t>
  </si>
  <si>
    <t>data_analytics</t>
  </si>
  <si>
    <t>integration_development</t>
  </si>
  <si>
    <t>customer_support</t>
  </si>
  <si>
    <t>sustainability</t>
  </si>
  <si>
    <t>=SUBSTITUTE(TRIM(LOWER(A2)), " ", "_")</t>
  </si>
  <si>
    <t>custom_website_design_and_development</t>
  </si>
  <si>
    <t>website_redesign_and_optimization</t>
  </si>
  <si>
    <t>e-commerce_solutions</t>
  </si>
  <si>
    <t>maintenance_and_support</t>
  </si>
  <si>
    <t>web_application_development</t>
  </si>
  <si>
    <t>api_development_and_integration</t>
  </si>
  <si>
    <t>content_management_systems_(cms)</t>
  </si>
  <si>
    <t>cloud-based_solutions</t>
  </si>
  <si>
    <t>uiux_design_services</t>
  </si>
  <si>
    <t>sindbadstores</t>
  </si>
  <si>
    <t>darwashco</t>
  </si>
  <si>
    <t>Django</t>
  </si>
  <si>
    <t>Angular</t>
  </si>
  <si>
    <t>Python</t>
  </si>
  <si>
    <t>Database</t>
  </si>
  <si>
    <t>Express</t>
  </si>
  <si>
    <t>WordPress</t>
  </si>
  <si>
    <t>Shopify</t>
  </si>
  <si>
    <t>Flask</t>
  </si>
  <si>
    <t>Boostrap</t>
  </si>
  <si>
    <t>Material Design</t>
  </si>
  <si>
    <t>Organized electronic data storage.</t>
  </si>
  <si>
    <t>High-level interpreted language.</t>
  </si>
  <si>
    <t>TypeScript-based web framework.</t>
  </si>
  <si>
    <t>Python web framework.</t>
  </si>
  <si>
    <t>Minimalist Node.js web framework.</t>
  </si>
  <si>
    <t>Open-source PHP CMS.</t>
  </si>
  <si>
    <t>E-commerce platform for businesses.</t>
  </si>
  <si>
    <t>Lightweight Python web framework.</t>
  </si>
  <si>
    <t>Responsive CSS framework.</t>
  </si>
  <si>
    <t>Google's design language.</t>
  </si>
  <si>
    <t>django</t>
  </si>
  <si>
    <t>angular</t>
  </si>
  <si>
    <t>python</t>
  </si>
  <si>
    <t>database</t>
  </si>
  <si>
    <t>express</t>
  </si>
  <si>
    <t>googlemap</t>
  </si>
  <si>
    <t>material_design</t>
  </si>
  <si>
    <t>Android</t>
  </si>
  <si>
    <t>android</t>
  </si>
  <si>
    <t>ios</t>
  </si>
  <si>
    <t>IOS</t>
  </si>
  <si>
    <t>Mobile operating system.</t>
  </si>
  <si>
    <t>Mobile operating system (Apple).</t>
  </si>
  <si>
    <t>mahmoud</t>
  </si>
  <si>
    <t>amjad</t>
  </si>
  <si>
    <t>Hamouds.com</t>
  </si>
  <si>
    <t xml:space="preserve">مرحبًا بكم في الحمود - بوابتكم إلى حلول الويب المبتكرة. تحويل الأفكار إلى واقع رقمي باستخدام أحدث التقنيات.
</t>
  </si>
  <si>
    <t>Mahmoud Alhamoud</t>
  </si>
  <si>
    <t>Ashraf Salama</t>
  </si>
  <si>
    <t>أشرف سلامة</t>
  </si>
  <si>
    <t>أمجد محمد علي</t>
  </si>
  <si>
    <t>Amjad Muhammad Ali</t>
  </si>
  <si>
    <t>962790447208</t>
  </si>
  <si>
    <t>ashraf</t>
  </si>
  <si>
    <t>https://linkedin.com</t>
  </si>
  <si>
    <t>https://github.com/roinsight</t>
  </si>
  <si>
    <t>hamouds</t>
  </si>
  <si>
    <t>Lebanon, Beirut</t>
  </si>
  <si>
    <t>إدارة المحتوى</t>
  </si>
  <si>
    <t>مواقع الويب الاستجابية</t>
  </si>
  <si>
    <t>تطوير تطبيقات الهواتف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</si>
</sst>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onsolas"/>
      <family val="3"/>
    </font>
    <font>
      <sz val="11"/>
      <name val="Calibri"/>
      <family val="2"/>
      <scheme val="minor"/>
    </font>
    <font>
      <u/>
      <sz val="11"/>
      <color theme="10"/>
      <name val="Calibri"/>
      <family val="2"/>
      <scheme val="minor"/>
    </font>
    <font>
      <sz val="9"/>
      <color theme="1"/>
      <name val="Courier New"/>
      <family val="3"/>
    </font>
    <font>
      <sz val="9.6"/>
      <color rgb="FF0D0D0D"/>
      <name val="Segoe UI"/>
      <family val="2"/>
    </font>
    <font>
      <sz val="9.6"/>
      <color rgb="FF0D0D0D"/>
      <name val="Segoe UI"/>
      <family val="2"/>
    </font>
    <font>
      <sz val="12"/>
      <color rgb="FF0D0D0D"/>
      <name val="Segoe UI"/>
      <family val="2"/>
    </font>
    <font>
      <sz val="11"/>
      <color rgb="FF0D0D0D"/>
      <name val="Segoe UI"/>
      <family val="2"/>
    </font>
    <font>
      <sz val="9.6"/>
      <color rgb="FF0D0D0D"/>
      <name val="Segoe UI"/>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E3E3E3"/>
      </left>
      <right style="medium">
        <color rgb="FFE3E3E3"/>
      </right>
      <top/>
      <bottom style="medium">
        <color rgb="FFE3E3E3"/>
      </bottom>
      <diagonal/>
    </border>
    <border>
      <left style="medium">
        <color rgb="FFE3E3E3"/>
      </left>
      <right/>
      <top style="medium">
        <color rgb="FFE3E3E3"/>
      </top>
      <bottom style="medium">
        <color rgb="FFE3E3E3"/>
      </bottom>
      <diagonal/>
    </border>
    <border>
      <left style="medium">
        <color rgb="FFE3E3E3"/>
      </left>
      <right style="medium">
        <color rgb="FFE3E3E3"/>
      </right>
      <top style="medium">
        <color rgb="FFE3E3E3"/>
      </top>
      <bottom style="medium">
        <color rgb="FFE3E3E3"/>
      </bottom>
      <diagonal/>
    </border>
    <border>
      <left style="medium">
        <color rgb="FFE3E3E3"/>
      </left>
      <right/>
      <top/>
      <bottom style="medium">
        <color rgb="FFE3E3E3"/>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0" fillId="0" borderId="0" xfId="0" applyAlignment="1">
      <alignment horizontal="right"/>
    </xf>
    <xf numFmtId="0" fontId="0" fillId="0" borderId="0" xfId="0" applyAlignment="1">
      <alignment horizontal="left" vertical="center" wrapText="1"/>
    </xf>
    <xf numFmtId="0" fontId="1" fillId="0" borderId="0" xfId="0" applyFont="1" applyAlignment="1">
      <alignment vertical="center" wrapText="1"/>
    </xf>
    <xf numFmtId="0" fontId="2" fillId="0" borderId="0" xfId="0" applyFont="1" applyAlignment="1">
      <alignment wrapText="1"/>
    </xf>
    <xf numFmtId="0" fontId="1" fillId="0" borderId="0" xfId="0" applyFont="1" applyAlignment="1">
      <alignment vertical="center"/>
    </xf>
    <xf numFmtId="0" fontId="3" fillId="0" borderId="0" xfId="1"/>
    <xf numFmtId="0" fontId="0" fillId="0" borderId="0" xfId="0" applyAlignment="1">
      <alignment horizontal="center" vertical="center" wrapText="1"/>
    </xf>
    <xf numFmtId="0" fontId="0" fillId="0" borderId="0" xfId="0" applyAlignment="1">
      <alignment horizontal="center" vertical="center"/>
    </xf>
    <xf numFmtId="49" fontId="0" fillId="0" borderId="0" xfId="0" applyNumberFormat="1"/>
    <xf numFmtId="0" fontId="0" fillId="0" borderId="0" xfId="0" applyAlignment="1">
      <alignment horizontal="left" vertical="center"/>
    </xf>
    <xf numFmtId="0" fontId="2" fillId="0" borderId="0" xfId="0" applyFont="1"/>
    <xf numFmtId="0" fontId="4" fillId="0" borderId="0" xfId="0" applyFont="1"/>
    <xf numFmtId="0" fontId="0" fillId="0" borderId="0" xfId="0" applyAlignment="1">
      <alignment horizontal="right" vertical="center"/>
    </xf>
    <xf numFmtId="0" fontId="5" fillId="0" borderId="0" xfId="0" applyFont="1" applyAlignment="1">
      <alignment vertical="center"/>
    </xf>
    <xf numFmtId="0" fontId="5" fillId="0" borderId="1" xfId="0" applyFont="1" applyBorder="1" applyAlignment="1">
      <alignment vertical="center"/>
    </xf>
    <xf numFmtId="0" fontId="5" fillId="2" borderId="4" xfId="0" applyFont="1" applyFill="1" applyBorder="1" applyAlignment="1">
      <alignment vertical="center" wrapText="1"/>
    </xf>
    <xf numFmtId="0" fontId="5" fillId="2" borderId="1" xfId="0" applyFont="1" applyFill="1" applyBorder="1" applyAlignment="1">
      <alignment vertic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5" fillId="2" borderId="4" xfId="0" applyFont="1" applyFill="1" applyBorder="1" applyAlignment="1">
      <alignment vertical="center"/>
    </xf>
    <xf numFmtId="0" fontId="5" fillId="2" borderId="1" xfId="0" applyFont="1" applyFill="1" applyBorder="1" applyAlignment="1">
      <alignment vertical="center"/>
    </xf>
    <xf numFmtId="0" fontId="7" fillId="0" borderId="0" xfId="0" applyFont="1"/>
    <xf numFmtId="0" fontId="8" fillId="0" borderId="0" xfId="0" applyFont="1"/>
    <xf numFmtId="0" fontId="0" fillId="2" borderId="0" xfId="0" applyFill="1"/>
    <xf numFmtId="0" fontId="9" fillId="2" borderId="3" xfId="0" applyFont="1" applyFill="1" applyBorder="1" applyAlignment="1">
      <alignment horizontal="center" wrapText="1"/>
    </xf>
    <xf numFmtId="0" fontId="3" fillId="0" borderId="0" xfId="1" applyFill="1" applyBorder="1"/>
    <xf numFmtId="0" fontId="5" fillId="0" borderId="0" xfId="0" applyFont="1" applyAlignment="1">
      <alignment vertical="center" wrapText="1"/>
    </xf>
    <xf numFmtId="0" fontId="5"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5" fillId="2" borderId="4" xfId="0" applyFont="1" applyFill="1" applyBorder="1" applyAlignment="1">
      <alignment horizontal="left" vertical="center" wrapText="1"/>
    </xf>
    <xf numFmtId="0" fontId="5" fillId="2" borderId="1" xfId="0" applyFont="1" applyFill="1" applyBorder="1" applyAlignment="1">
      <alignment horizontal="left" vertical="center" wrapText="1"/>
    </xf>
    <xf numFmtId="0" fontId="0" fillId="0" borderId="0" xfId="0" applyAlignment="1">
      <alignment horizontal="left" vertical="top"/>
    </xf>
    <xf numFmtId="0" fontId="7" fillId="0" borderId="0" xfId="0" applyFont="1" applyAlignment="1">
      <alignment horizontal="left" vertical="top"/>
    </xf>
    <xf numFmtId="0" fontId="0" fillId="0" borderId="0" xfId="0" quotePrefix="1"/>
    <xf numFmtId="0" fontId="7" fillId="0" borderId="0" xfId="0" applyFont="1" applyAlignment="1">
      <alignment horizontal="center" vertical="center"/>
    </xf>
    <xf numFmtId="0" fontId="7" fillId="0" borderId="0" xfId="0" applyFont="1" applyAlignment="1">
      <alignment horizontal="center"/>
    </xf>
    <xf numFmtId="0" fontId="0" fillId="0" borderId="0" xfId="0" applyAlignment="1">
      <alignment horizontal="center"/>
    </xf>
    <xf numFmtId="0" fontId="9" fillId="2" borderId="4" xfId="0" applyFont="1" applyFill="1" applyBorder="1" applyAlignment="1">
      <alignment horizontal="center" wrapText="1"/>
    </xf>
  </cellXfs>
  <cellStyles count="2">
    <cellStyle name="Hyperlink" xfId="1" builtinId="8"/>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support@cuttern.com" TargetMode="External"/><Relationship Id="rId2" Type="http://schemas.openxmlformats.org/officeDocument/2006/relationships/hyperlink" Target="http://www.cuttern.com/" TargetMode="External"/><Relationship Id="rId1" Type="http://schemas.openxmlformats.org/officeDocument/2006/relationships/hyperlink" Target="mailto:support@cuttern.com" TargetMode="External"/><Relationship Id="rId5" Type="http://schemas.openxmlformats.org/officeDocument/2006/relationships/hyperlink" Target="mailto:support@cuttern.com" TargetMode="External"/><Relationship Id="rId4" Type="http://schemas.openxmlformats.org/officeDocument/2006/relationships/hyperlink" Target="mailto:support@cuttern.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indbadstores.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shraf@hamouds.com" TargetMode="External"/><Relationship Id="rId2" Type="http://schemas.openxmlformats.org/officeDocument/2006/relationships/hyperlink" Target="mailto:amjad@hamouds.com" TargetMode="External"/><Relationship Id="rId1" Type="http://schemas.openxmlformats.org/officeDocument/2006/relationships/hyperlink" Target="mailto:mahmoud@hamouds.com" TargetMode="External"/><Relationship Id="rId6" Type="http://schemas.openxmlformats.org/officeDocument/2006/relationships/printerSettings" Target="../printerSettings/printerSettings3.bin"/><Relationship Id="rId5" Type="http://schemas.openxmlformats.org/officeDocument/2006/relationships/hyperlink" Target="https://linkedin.com/" TargetMode="External"/><Relationship Id="rId4" Type="http://schemas.openxmlformats.org/officeDocument/2006/relationships/hyperlink" Target="https://linkedin.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zoomScale="85" zoomScaleNormal="85" workbookViewId="0">
      <selection activeCell="E2" sqref="E2:F2"/>
    </sheetView>
  </sheetViews>
  <sheetFormatPr defaultRowHeight="15" x14ac:dyDescent="0.25"/>
  <cols>
    <col min="1" max="1" width="9.5703125" customWidth="1"/>
    <col min="2" max="2" width="27.7109375" customWidth="1"/>
    <col min="3" max="3" width="18.85546875" bestFit="1" customWidth="1"/>
    <col min="4" max="4" width="9.5703125" bestFit="1" customWidth="1"/>
    <col min="5" max="5" width="8.7109375" bestFit="1" customWidth="1"/>
    <col min="6" max="6" width="13.5703125" customWidth="1"/>
  </cols>
  <sheetData>
    <row r="1" spans="1:10" x14ac:dyDescent="0.25">
      <c r="A1" t="s">
        <v>0</v>
      </c>
      <c r="B1" t="s">
        <v>1</v>
      </c>
      <c r="C1" t="s">
        <v>2</v>
      </c>
      <c r="D1" t="s">
        <v>3</v>
      </c>
      <c r="E1" t="s">
        <v>5</v>
      </c>
      <c r="F1" t="s">
        <v>6</v>
      </c>
      <c r="G1" t="s">
        <v>18</v>
      </c>
      <c r="H1" t="s">
        <v>19</v>
      </c>
      <c r="I1" t="s">
        <v>20</v>
      </c>
      <c r="J1" t="s">
        <v>44</v>
      </c>
    </row>
    <row r="2" spans="1:10" s="8" customFormat="1" ht="165" x14ac:dyDescent="0.25">
      <c r="A2" s="8" t="s">
        <v>260</v>
      </c>
      <c r="B2" s="7" t="s">
        <v>142</v>
      </c>
      <c r="C2" s="8" t="s">
        <v>4</v>
      </c>
      <c r="E2" s="8" t="s">
        <v>143</v>
      </c>
      <c r="F2" s="7" t="s">
        <v>261</v>
      </c>
      <c r="G2" s="8">
        <v>1208878</v>
      </c>
      <c r="I2" s="8">
        <v>994842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D6CE-F750-4C7D-A9DA-FCA0A100535F}">
  <dimension ref="A1:P3"/>
  <sheetViews>
    <sheetView workbookViewId="0">
      <selection activeCell="C8" sqref="C8"/>
    </sheetView>
  </sheetViews>
  <sheetFormatPr defaultRowHeight="15" x14ac:dyDescent="0.25"/>
  <cols>
    <col min="1" max="1" width="49.28515625" bestFit="1" customWidth="1"/>
    <col min="2" max="3" width="12" bestFit="1" customWidth="1"/>
    <col min="4" max="4" width="3.7109375" bestFit="1" customWidth="1"/>
    <col min="5" max="5" width="22.28515625" bestFit="1" customWidth="1"/>
    <col min="6" max="6" width="18.7109375" bestFit="1" customWidth="1"/>
    <col min="7" max="9" width="22.28515625" bestFit="1" customWidth="1"/>
    <col min="10" max="10" width="28" bestFit="1" customWidth="1"/>
    <col min="11" max="11" width="26" bestFit="1" customWidth="1"/>
    <col min="12" max="12" width="28.5703125" bestFit="1" customWidth="1"/>
    <col min="13" max="13" width="27.140625" bestFit="1" customWidth="1"/>
    <col min="14" max="14" width="13.140625" bestFit="1" customWidth="1"/>
    <col min="15" max="15" width="14.42578125" bestFit="1" customWidth="1"/>
  </cols>
  <sheetData>
    <row r="1" spans="1:16" x14ac:dyDescent="0.25">
      <c r="A1" t="s">
        <v>7</v>
      </c>
      <c r="B1" t="s">
        <v>8</v>
      </c>
      <c r="C1" t="s">
        <v>9</v>
      </c>
      <c r="D1" t="s">
        <v>10</v>
      </c>
      <c r="E1" t="s">
        <v>11</v>
      </c>
      <c r="F1" t="s">
        <v>12</v>
      </c>
      <c r="G1" t="s">
        <v>13</v>
      </c>
      <c r="H1" t="s">
        <v>14</v>
      </c>
      <c r="I1" t="s">
        <v>15</v>
      </c>
      <c r="J1" t="s">
        <v>29</v>
      </c>
      <c r="K1" t="s">
        <v>28</v>
      </c>
      <c r="L1" t="s">
        <v>30</v>
      </c>
      <c r="M1" t="s">
        <v>27</v>
      </c>
      <c r="N1" t="s">
        <v>26</v>
      </c>
      <c r="O1" t="s">
        <v>250</v>
      </c>
      <c r="P1" t="s">
        <v>44</v>
      </c>
    </row>
    <row r="2" spans="1:16" x14ac:dyDescent="0.25">
      <c r="A2" t="s">
        <v>16</v>
      </c>
      <c r="B2" s="9">
        <v>97143202204</v>
      </c>
      <c r="C2" s="9" t="s">
        <v>43</v>
      </c>
      <c r="E2" s="6" t="s">
        <v>144</v>
      </c>
      <c r="F2" s="6" t="s">
        <v>145</v>
      </c>
      <c r="G2" s="6" t="s">
        <v>144</v>
      </c>
      <c r="H2" s="6" t="s">
        <v>144</v>
      </c>
      <c r="I2" s="6" t="s">
        <v>144</v>
      </c>
      <c r="J2" s="6"/>
      <c r="K2" s="6"/>
      <c r="L2" s="6"/>
      <c r="M2" s="6"/>
      <c r="N2" t="str">
        <f>"https://wa.me/"&amp;C2&amp;"?text=I'm%20interested%20in%20cuttern"</f>
        <v>https://wa.me/971503250175?text=I'm%20interested%20in%20cuttern</v>
      </c>
    </row>
    <row r="3" spans="1:16" x14ac:dyDescent="0.25">
      <c r="B3" s="9"/>
      <c r="C3" s="9"/>
      <c r="E3" s="6"/>
      <c r="F3" s="6"/>
      <c r="G3" s="6"/>
      <c r="H3" s="6"/>
      <c r="I3" s="6"/>
      <c r="J3" s="6"/>
      <c r="K3" s="6"/>
      <c r="L3" s="6"/>
      <c r="M3" s="6"/>
    </row>
  </sheetData>
  <hyperlinks>
    <hyperlink ref="E2" r:id="rId1" display="support@cuttern.com" xr:uid="{271DD8C3-4C10-48D7-BD8F-063F0CAFC8B5}"/>
    <hyperlink ref="F2" r:id="rId2" display="www.cuttern.com" xr:uid="{B7277D2F-7886-4C9A-A356-0CF81EFF0321}"/>
    <hyperlink ref="G2" r:id="rId3" display="support@cuttern.com" xr:uid="{40A97EA5-86A9-40E3-AF6F-7534A1DD9336}"/>
    <hyperlink ref="H2" r:id="rId4" display="support@cuttern.com" xr:uid="{18B3F4C4-4EF9-4946-A1DF-B2E332A79118}"/>
    <hyperlink ref="I2" r:id="rId5" display="support@cuttern.com" xr:uid="{01ACCD72-9985-4CF9-ADD0-5C296261AE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EE10-B1D8-467B-B259-84BFC75D8702}">
  <dimension ref="A1:G11"/>
  <sheetViews>
    <sheetView workbookViewId="0">
      <selection activeCell="C9" sqref="C9"/>
    </sheetView>
  </sheetViews>
  <sheetFormatPr defaultRowHeight="15" x14ac:dyDescent="0.25"/>
  <cols>
    <col min="1" max="7" width="23.85546875" customWidth="1"/>
  </cols>
  <sheetData>
    <row r="1" spans="1:7" x14ac:dyDescent="0.25">
      <c r="A1" s="7" t="s">
        <v>0</v>
      </c>
      <c r="B1" s="7" t="s">
        <v>1</v>
      </c>
      <c r="C1" s="7" t="s">
        <v>38</v>
      </c>
      <c r="D1" s="7" t="s">
        <v>39</v>
      </c>
      <c r="E1" s="8" t="s">
        <v>5</v>
      </c>
      <c r="F1" s="8" t="s">
        <v>6</v>
      </c>
      <c r="G1" s="8" t="s">
        <v>46</v>
      </c>
    </row>
    <row r="2" spans="1:7" ht="200.25" thickBot="1" x14ac:dyDescent="0.3">
      <c r="A2" s="14" t="s">
        <v>194</v>
      </c>
      <c r="B2" s="27" t="s">
        <v>200</v>
      </c>
      <c r="C2" s="15" t="s">
        <v>49</v>
      </c>
      <c r="D2" s="26" t="s">
        <v>193</v>
      </c>
      <c r="E2" s="14" t="s">
        <v>195</v>
      </c>
      <c r="F2" s="27" t="s">
        <v>201</v>
      </c>
      <c r="G2" s="28" t="s">
        <v>223</v>
      </c>
    </row>
    <row r="3" spans="1:7" ht="171.75" thickBot="1" x14ac:dyDescent="0.3">
      <c r="A3" s="14" t="s">
        <v>196</v>
      </c>
      <c r="B3" s="27" t="s">
        <v>197</v>
      </c>
      <c r="C3" s="15" t="s">
        <v>55</v>
      </c>
      <c r="D3" t="s">
        <v>198</v>
      </c>
      <c r="E3" s="14" t="s">
        <v>199</v>
      </c>
      <c r="F3" s="27" t="s">
        <v>202</v>
      </c>
      <c r="G3" s="8" t="s">
        <v>224</v>
      </c>
    </row>
    <row r="4" spans="1:7" x14ac:dyDescent="0.25">
      <c r="A4" s="14"/>
      <c r="B4" s="14"/>
      <c r="C4" s="14"/>
      <c r="E4" s="14"/>
      <c r="F4" s="14"/>
      <c r="G4" s="14"/>
    </row>
    <row r="5" spans="1:7" x14ac:dyDescent="0.25">
      <c r="A5" s="14"/>
      <c r="B5" s="14"/>
      <c r="C5" s="14"/>
      <c r="E5" s="14"/>
      <c r="F5" s="14"/>
      <c r="G5" s="14"/>
    </row>
    <row r="6" spans="1:7" ht="15.75" thickBot="1" x14ac:dyDescent="0.3">
      <c r="A6" s="14"/>
      <c r="B6" s="14"/>
      <c r="C6" s="15"/>
      <c r="E6" s="14"/>
      <c r="F6" s="14"/>
      <c r="G6" s="14"/>
    </row>
    <row r="7" spans="1:7" x14ac:dyDescent="0.25">
      <c r="A7" s="14"/>
      <c r="B7" s="14"/>
      <c r="C7" s="14"/>
      <c r="E7" s="14"/>
      <c r="F7" s="14"/>
      <c r="G7" s="14"/>
    </row>
    <row r="8" spans="1:7" x14ac:dyDescent="0.25">
      <c r="A8" s="14"/>
      <c r="B8" s="14"/>
      <c r="C8" s="14"/>
      <c r="E8" s="14"/>
      <c r="F8" s="14"/>
      <c r="G8" s="14"/>
    </row>
    <row r="9" spans="1:7" x14ac:dyDescent="0.25">
      <c r="A9" s="14"/>
      <c r="B9" s="14"/>
      <c r="C9" s="14"/>
      <c r="E9" s="14"/>
      <c r="F9" s="14"/>
      <c r="G9" s="14"/>
    </row>
    <row r="10" spans="1:7" x14ac:dyDescent="0.25">
      <c r="A10" s="14"/>
      <c r="B10" s="14"/>
      <c r="C10" s="14"/>
      <c r="E10" s="14"/>
      <c r="F10" s="14"/>
      <c r="G10" s="14"/>
    </row>
    <row r="11" spans="1:7" x14ac:dyDescent="0.25">
      <c r="A11" s="14"/>
      <c r="B11" s="14"/>
      <c r="C11" s="14"/>
      <c r="E11" s="14"/>
      <c r="F11" s="14"/>
      <c r="G11" s="14"/>
    </row>
  </sheetData>
  <conditionalFormatting sqref="A1:C1">
    <cfRule type="duplicateValues" dxfId="13" priority="2"/>
  </conditionalFormatting>
  <conditionalFormatting sqref="E1:G1">
    <cfRule type="duplicateValues" dxfId="12" priority="1"/>
  </conditionalFormatting>
  <hyperlinks>
    <hyperlink ref="D2" r:id="rId1" xr:uid="{56C4350A-71E1-44B7-B9F4-500301F05566}"/>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292A-290F-4C7C-A381-F96527FEC3BC}">
  <dimension ref="A1:F11"/>
  <sheetViews>
    <sheetView workbookViewId="0">
      <selection activeCell="A10" sqref="A10"/>
    </sheetView>
  </sheetViews>
  <sheetFormatPr defaultRowHeight="15" x14ac:dyDescent="0.25"/>
  <cols>
    <col min="1" max="1" width="25.28515625" bestFit="1" customWidth="1"/>
    <col min="2" max="2" width="16.85546875" customWidth="1"/>
    <col min="3" max="3" width="38.42578125" bestFit="1" customWidth="1"/>
    <col min="4" max="4" width="13.85546875" bestFit="1" customWidth="1"/>
    <col min="5" max="5" width="26.140625" bestFit="1" customWidth="1"/>
  </cols>
  <sheetData>
    <row r="1" spans="1:6" ht="30" x14ac:dyDescent="0.25">
      <c r="A1" s="7" t="s">
        <v>0</v>
      </c>
      <c r="B1" s="7" t="s">
        <v>1</v>
      </c>
      <c r="C1" s="8" t="s">
        <v>5</v>
      </c>
      <c r="D1" s="8" t="s">
        <v>6</v>
      </c>
      <c r="E1" s="8" t="s">
        <v>46</v>
      </c>
      <c r="F1" s="8" t="s">
        <v>17</v>
      </c>
    </row>
    <row r="2" spans="1:6" ht="15.75" thickBot="1" x14ac:dyDescent="0.3">
      <c r="A2" s="15" t="s">
        <v>47</v>
      </c>
      <c r="C2" s="15" t="s">
        <v>57</v>
      </c>
      <c r="E2" t="s">
        <v>204</v>
      </c>
    </row>
    <row r="3" spans="1:6" ht="15.75" thickBot="1" x14ac:dyDescent="0.3">
      <c r="A3" s="15" t="s">
        <v>48</v>
      </c>
      <c r="C3" s="15" t="s">
        <v>58</v>
      </c>
      <c r="E3" t="s">
        <v>205</v>
      </c>
    </row>
    <row r="4" spans="1:6" ht="15.75" thickBot="1" x14ac:dyDescent="0.3">
      <c r="A4" s="15" t="s">
        <v>49</v>
      </c>
      <c r="C4" s="15" t="s">
        <v>59</v>
      </c>
      <c r="E4" t="s">
        <v>206</v>
      </c>
    </row>
    <row r="5" spans="1:6" ht="15.75" thickBot="1" x14ac:dyDescent="0.3">
      <c r="A5" s="15" t="s">
        <v>50</v>
      </c>
      <c r="C5" s="15" t="s">
        <v>60</v>
      </c>
      <c r="E5" t="s">
        <v>207</v>
      </c>
    </row>
    <row r="6" spans="1:6" ht="15.75" thickBot="1" x14ac:dyDescent="0.3">
      <c r="A6" s="15" t="s">
        <v>51</v>
      </c>
      <c r="C6" s="15" t="s">
        <v>61</v>
      </c>
      <c r="E6" t="s">
        <v>208</v>
      </c>
    </row>
    <row r="7" spans="1:6" ht="15.75" thickBot="1" x14ac:dyDescent="0.3">
      <c r="A7" s="15" t="s">
        <v>52</v>
      </c>
      <c r="C7" s="15" t="s">
        <v>62</v>
      </c>
      <c r="E7" t="s">
        <v>209</v>
      </c>
    </row>
    <row r="8" spans="1:6" ht="15.75" thickBot="1" x14ac:dyDescent="0.3">
      <c r="A8" s="15" t="s">
        <v>53</v>
      </c>
      <c r="C8" s="15" t="s">
        <v>63</v>
      </c>
      <c r="E8" t="s">
        <v>210</v>
      </c>
    </row>
    <row r="9" spans="1:6" ht="15.75" thickBot="1" x14ac:dyDescent="0.3">
      <c r="A9" s="15" t="s">
        <v>54</v>
      </c>
      <c r="C9" s="15" t="s">
        <v>64</v>
      </c>
      <c r="E9" t="s">
        <v>211</v>
      </c>
    </row>
    <row r="10" spans="1:6" ht="15.75" thickBot="1" x14ac:dyDescent="0.3">
      <c r="A10" s="15" t="s">
        <v>55</v>
      </c>
      <c r="C10" s="15" t="s">
        <v>65</v>
      </c>
      <c r="E10" t="s">
        <v>203</v>
      </c>
    </row>
    <row r="11" spans="1:6" ht="15.75" thickBot="1" x14ac:dyDescent="0.3">
      <c r="A11" s="15" t="s">
        <v>56</v>
      </c>
      <c r="C11" s="15" t="s">
        <v>66</v>
      </c>
      <c r="E11" t="s">
        <v>212</v>
      </c>
    </row>
  </sheetData>
  <conditionalFormatting sqref="A1:B1">
    <cfRule type="duplicateValues" dxfId="11" priority="5"/>
  </conditionalFormatting>
  <conditionalFormatting sqref="C1:F1">
    <cfRule type="duplicateValues" dxfId="1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2289-AC42-4659-A04D-FE46EFAB7180}">
  <dimension ref="A1:T20"/>
  <sheetViews>
    <sheetView topLeftCell="I1" workbookViewId="0">
      <selection activeCell="A2" sqref="A2:T4"/>
    </sheetView>
  </sheetViews>
  <sheetFormatPr defaultRowHeight="15" x14ac:dyDescent="0.25"/>
  <cols>
    <col min="1" max="2" width="19.85546875" customWidth="1"/>
    <col min="3" max="3" width="27.42578125" bestFit="1" customWidth="1"/>
    <col min="4" max="4" width="17.42578125" customWidth="1"/>
    <col min="5" max="9" width="19.85546875" customWidth="1"/>
    <col min="10" max="10" width="24.7109375" bestFit="1" customWidth="1"/>
    <col min="11" max="19" width="19.85546875" customWidth="1"/>
  </cols>
  <sheetData>
    <row r="1" spans="1:20" x14ac:dyDescent="0.25">
      <c r="A1" s="7" t="s">
        <v>0</v>
      </c>
      <c r="B1" s="7" t="s">
        <v>1</v>
      </c>
      <c r="C1" s="7" t="s">
        <v>21</v>
      </c>
      <c r="D1" s="7" t="s">
        <v>22</v>
      </c>
      <c r="E1" s="7" t="s">
        <v>17</v>
      </c>
      <c r="F1" s="7" t="s">
        <v>5</v>
      </c>
      <c r="G1" s="7" t="s">
        <v>6</v>
      </c>
      <c r="H1" s="7" t="s">
        <v>23</v>
      </c>
      <c r="I1" s="7" t="s">
        <v>24</v>
      </c>
      <c r="J1" s="7" t="s">
        <v>11</v>
      </c>
      <c r="K1" s="7" t="s">
        <v>25</v>
      </c>
      <c r="L1" s="7" t="s">
        <v>110</v>
      </c>
      <c r="M1" s="8" t="s">
        <v>26</v>
      </c>
      <c r="N1" s="8" t="s">
        <v>27</v>
      </c>
      <c r="O1" s="8" t="s">
        <v>28</v>
      </c>
      <c r="P1" s="8" t="s">
        <v>29</v>
      </c>
      <c r="Q1" s="8" t="s">
        <v>30</v>
      </c>
      <c r="R1" s="8" t="s">
        <v>31</v>
      </c>
      <c r="S1" s="8" t="s">
        <v>32</v>
      </c>
      <c r="T1" s="7" t="s">
        <v>46</v>
      </c>
    </row>
    <row r="2" spans="1:20" x14ac:dyDescent="0.25">
      <c r="A2" t="s">
        <v>262</v>
      </c>
      <c r="C2" t="s">
        <v>41</v>
      </c>
      <c r="E2" t="s">
        <v>45</v>
      </c>
      <c r="F2" t="s">
        <v>114</v>
      </c>
      <c r="H2" t="s">
        <v>33</v>
      </c>
      <c r="J2" s="6" t="s">
        <v>115</v>
      </c>
      <c r="K2" s="9" t="s">
        <v>267</v>
      </c>
      <c r="L2" t="s">
        <v>112</v>
      </c>
      <c r="M2" t="str">
        <f>"https://wa.me/"&amp;K2&amp;"?text=I'm%20interested%20in%20hamouds.com"</f>
        <v>https://wa.me/962790447208?text=I'm%20interested%20in%20hamouds.com</v>
      </c>
      <c r="N2" s="6" t="s">
        <v>269</v>
      </c>
      <c r="O2" s="6"/>
      <c r="P2" s="6"/>
      <c r="Q2" s="6"/>
      <c r="R2" s="6" t="s">
        <v>270</v>
      </c>
      <c r="S2" s="6"/>
      <c r="T2" t="s">
        <v>258</v>
      </c>
    </row>
    <row r="3" spans="1:20" x14ac:dyDescent="0.25">
      <c r="A3" t="s">
        <v>266</v>
      </c>
      <c r="C3" t="s">
        <v>40</v>
      </c>
      <c r="E3" t="s">
        <v>45</v>
      </c>
      <c r="F3" t="s">
        <v>265</v>
      </c>
      <c r="H3" t="s">
        <v>42</v>
      </c>
      <c r="J3" s="6" t="s">
        <v>109</v>
      </c>
      <c r="K3" s="9" t="s">
        <v>43</v>
      </c>
      <c r="L3" s="9" t="s">
        <v>111</v>
      </c>
      <c r="M3" t="str">
        <f t="shared" ref="M3:M4" si="0">"https://wa.me/"&amp;K3&amp;"?text=I'm%20interested%20in%20hamouds.com"</f>
        <v>https://wa.me/971503250175?text=I'm%20interested%20in%20hamouds.com</v>
      </c>
      <c r="N3" s="6" t="s">
        <v>269</v>
      </c>
      <c r="O3" s="6"/>
      <c r="P3" s="6"/>
      <c r="Q3" s="6"/>
      <c r="R3" s="6" t="s">
        <v>270</v>
      </c>
      <c r="S3" s="6"/>
      <c r="T3" t="s">
        <v>259</v>
      </c>
    </row>
    <row r="4" spans="1:20" x14ac:dyDescent="0.25">
      <c r="A4" t="s">
        <v>263</v>
      </c>
      <c r="C4" t="s">
        <v>116</v>
      </c>
      <c r="E4" t="s">
        <v>45</v>
      </c>
      <c r="F4" t="s">
        <v>264</v>
      </c>
      <c r="H4" t="s">
        <v>117</v>
      </c>
      <c r="J4" s="6" t="s">
        <v>113</v>
      </c>
      <c r="K4" s="9">
        <v>96181525921</v>
      </c>
      <c r="L4" t="s">
        <v>272</v>
      </c>
      <c r="M4" t="str">
        <f t="shared" si="0"/>
        <v>https://wa.me/96181525921?text=I'm%20interested%20in%20hamouds.com</v>
      </c>
      <c r="N4" s="6" t="s">
        <v>269</v>
      </c>
      <c r="O4" s="6"/>
      <c r="P4" s="6"/>
      <c r="Q4" s="6"/>
      <c r="R4" s="6" t="s">
        <v>270</v>
      </c>
      <c r="S4" s="6"/>
      <c r="T4" t="s">
        <v>268</v>
      </c>
    </row>
    <row r="5" spans="1:20" x14ac:dyDescent="0.25">
      <c r="J5" s="6"/>
      <c r="N5" s="6"/>
      <c r="O5" s="6"/>
      <c r="P5" s="6"/>
      <c r="Q5" s="6"/>
      <c r="R5" s="6"/>
      <c r="S5" s="6"/>
    </row>
    <row r="6" spans="1:20" x14ac:dyDescent="0.25">
      <c r="J6" s="6"/>
      <c r="M6" s="6"/>
      <c r="N6" s="6"/>
      <c r="O6" s="6"/>
      <c r="P6" s="6"/>
      <c r="Q6" s="6"/>
      <c r="R6" s="6"/>
      <c r="S6" s="6"/>
    </row>
    <row r="10" spans="1:20" x14ac:dyDescent="0.25">
      <c r="F10" s="7"/>
    </row>
    <row r="11" spans="1:20" x14ac:dyDescent="0.25">
      <c r="F11" s="7"/>
    </row>
    <row r="12" spans="1:20" x14ac:dyDescent="0.25">
      <c r="D12" s="7"/>
      <c r="E12" s="7"/>
      <c r="F12" s="7"/>
    </row>
    <row r="13" spans="1:20" x14ac:dyDescent="0.25">
      <c r="C13" s="12"/>
      <c r="D13" s="7"/>
      <c r="E13" s="7"/>
      <c r="F13" s="7"/>
    </row>
    <row r="14" spans="1:20" x14ac:dyDescent="0.25">
      <c r="D14" s="8"/>
      <c r="E14" s="8"/>
    </row>
    <row r="15" spans="1:20" x14ac:dyDescent="0.25">
      <c r="D15" s="8"/>
      <c r="E15" s="8"/>
    </row>
    <row r="16" spans="1:20" x14ac:dyDescent="0.25">
      <c r="D16" s="8"/>
      <c r="E16" s="8"/>
    </row>
    <row r="17" spans="4:5" x14ac:dyDescent="0.25">
      <c r="D17" s="8"/>
      <c r="E17" s="8"/>
    </row>
    <row r="18" spans="4:5" x14ac:dyDescent="0.25">
      <c r="D18" s="8"/>
      <c r="E18" s="8"/>
    </row>
    <row r="19" spans="4:5" x14ac:dyDescent="0.25">
      <c r="D19" s="8"/>
      <c r="E19" s="8"/>
    </row>
    <row r="20" spans="4:5" x14ac:dyDescent="0.25">
      <c r="D20" s="8"/>
      <c r="E20" s="8"/>
    </row>
  </sheetData>
  <conditionalFormatting sqref="T1">
    <cfRule type="duplicateValues" dxfId="9" priority="1"/>
  </conditionalFormatting>
  <hyperlinks>
    <hyperlink ref="J2" r:id="rId1" xr:uid="{591DF43E-C0C4-4F6A-82EE-B04673AF59C0}"/>
    <hyperlink ref="J3" r:id="rId2" xr:uid="{F6B10542-0A4F-413C-B5DC-8198F23412A9}"/>
    <hyperlink ref="J4" r:id="rId3" xr:uid="{F9663357-1038-4C77-ADE6-A643ACA35552}"/>
    <hyperlink ref="N2" r:id="rId4" xr:uid="{4E380A28-4039-4B7E-B90C-D399DED71BB5}"/>
    <hyperlink ref="N3:N4" r:id="rId5" display="https://linkedin.com" xr:uid="{8D4F6731-6A0F-47A1-B84E-40C099DC8552}"/>
  </hyperlinks>
  <pageMargins left="0.7" right="0.7" top="0.75" bottom="0.75" header="0.3" footer="0.3"/>
  <pageSetup paperSize="9"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4D5E-9F1A-49FD-8D28-3DFA519EC9E5}">
  <dimension ref="A1:G13"/>
  <sheetViews>
    <sheetView topLeftCell="B1" workbookViewId="0">
      <selection activeCell="G2" sqref="G2"/>
    </sheetView>
  </sheetViews>
  <sheetFormatPr defaultColWidth="30.140625" defaultRowHeight="15" x14ac:dyDescent="0.25"/>
  <cols>
    <col min="1" max="1" width="39.28515625" style="10" bestFit="1" customWidth="1"/>
    <col min="2" max="2" width="75.85546875" style="10" customWidth="1"/>
    <col min="3" max="3" width="6.42578125" style="10" customWidth="1"/>
    <col min="4" max="4" width="18.7109375" style="13" customWidth="1"/>
    <col min="5" max="5" width="77.28515625" style="13" customWidth="1"/>
    <col min="6" max="6" width="40.7109375" bestFit="1" customWidth="1"/>
  </cols>
  <sheetData>
    <row r="1" spans="1:7" x14ac:dyDescent="0.25">
      <c r="A1" s="10" t="s">
        <v>0</v>
      </c>
      <c r="B1" s="10" t="s">
        <v>1</v>
      </c>
      <c r="C1" s="10" t="s">
        <v>17</v>
      </c>
      <c r="D1" s="10" t="s">
        <v>5</v>
      </c>
      <c r="E1" s="10" t="s">
        <v>6</v>
      </c>
      <c r="F1" s="7" t="s">
        <v>46</v>
      </c>
    </row>
    <row r="2" spans="1:7" ht="43.5" thickBot="1" x14ac:dyDescent="0.3">
      <c r="A2" s="16" t="s">
        <v>83</v>
      </c>
      <c r="B2" s="17" t="s">
        <v>118</v>
      </c>
      <c r="D2" s="17" t="s">
        <v>146</v>
      </c>
      <c r="E2" s="17" t="s">
        <v>155</v>
      </c>
      <c r="F2" t="s">
        <v>214</v>
      </c>
      <c r="G2" s="35" t="s">
        <v>213</v>
      </c>
    </row>
    <row r="3" spans="1:7" ht="29.25" thickBot="1" x14ac:dyDescent="0.3">
      <c r="A3" s="16" t="s">
        <v>84</v>
      </c>
      <c r="B3" s="17" t="s">
        <v>119</v>
      </c>
      <c r="D3" s="17" t="s">
        <v>147</v>
      </c>
      <c r="E3" s="17" t="s">
        <v>156</v>
      </c>
      <c r="F3" t="s">
        <v>215</v>
      </c>
    </row>
    <row r="4" spans="1:7" ht="29.25" thickBot="1" x14ac:dyDescent="0.3">
      <c r="A4" s="16" t="s">
        <v>85</v>
      </c>
      <c r="B4" s="17" t="s">
        <v>120</v>
      </c>
      <c r="D4" s="17" t="s">
        <v>148</v>
      </c>
      <c r="E4" s="17" t="s">
        <v>157</v>
      </c>
      <c r="F4" t="s">
        <v>216</v>
      </c>
    </row>
    <row r="5" spans="1:7" ht="29.25" thickBot="1" x14ac:dyDescent="0.3">
      <c r="A5" s="16" t="s">
        <v>86</v>
      </c>
      <c r="B5" s="17" t="s">
        <v>121</v>
      </c>
      <c r="D5" s="17" t="s">
        <v>149</v>
      </c>
      <c r="E5" s="17" t="s">
        <v>158</v>
      </c>
      <c r="F5" t="s">
        <v>217</v>
      </c>
    </row>
    <row r="6" spans="1:7" ht="57.75" thickBot="1" x14ac:dyDescent="0.3">
      <c r="A6" s="16" t="s">
        <v>49</v>
      </c>
      <c r="B6" s="17" t="s">
        <v>122</v>
      </c>
      <c r="D6" s="17" t="s">
        <v>59</v>
      </c>
      <c r="E6" s="17" t="s">
        <v>159</v>
      </c>
      <c r="F6" t="s">
        <v>206</v>
      </c>
    </row>
    <row r="7" spans="1:7" ht="43.5" thickBot="1" x14ac:dyDescent="0.3">
      <c r="A7" s="16" t="s">
        <v>123</v>
      </c>
      <c r="B7" s="17" t="s">
        <v>124</v>
      </c>
      <c r="D7" s="17" t="s">
        <v>150</v>
      </c>
      <c r="E7" s="17" t="s">
        <v>160</v>
      </c>
      <c r="F7" t="s">
        <v>218</v>
      </c>
    </row>
    <row r="8" spans="1:7" ht="57.75" thickBot="1" x14ac:dyDescent="0.3">
      <c r="A8" s="16" t="s">
        <v>125</v>
      </c>
      <c r="B8" s="17" t="s">
        <v>126</v>
      </c>
      <c r="D8" s="17" t="s">
        <v>151</v>
      </c>
      <c r="E8" s="17" t="s">
        <v>161</v>
      </c>
      <c r="F8" t="s">
        <v>219</v>
      </c>
    </row>
    <row r="9" spans="1:7" ht="43.5" thickBot="1" x14ac:dyDescent="0.3">
      <c r="A9" s="16" t="s">
        <v>100</v>
      </c>
      <c r="B9" s="17" t="s">
        <v>127</v>
      </c>
      <c r="D9" s="17" t="s">
        <v>152</v>
      </c>
      <c r="E9" s="17" t="s">
        <v>163</v>
      </c>
      <c r="F9" t="s">
        <v>220</v>
      </c>
    </row>
    <row r="10" spans="1:7" ht="57.75" thickBot="1" x14ac:dyDescent="0.3">
      <c r="A10" s="16" t="s">
        <v>128</v>
      </c>
      <c r="B10" s="17" t="s">
        <v>129</v>
      </c>
      <c r="D10" s="17" t="s">
        <v>153</v>
      </c>
      <c r="E10" s="17" t="s">
        <v>164</v>
      </c>
      <c r="F10" t="s">
        <v>222</v>
      </c>
    </row>
    <row r="11" spans="1:7" ht="57.75" thickBot="1" x14ac:dyDescent="0.3">
      <c r="A11" s="16" t="s">
        <v>130</v>
      </c>
      <c r="B11" s="17" t="s">
        <v>131</v>
      </c>
      <c r="D11" s="17" t="s">
        <v>154</v>
      </c>
      <c r="E11" s="17" t="s">
        <v>162</v>
      </c>
      <c r="F11" t="s">
        <v>221</v>
      </c>
    </row>
    <row r="12" spans="1:7" ht="15.75" thickBot="1" x14ac:dyDescent="0.3">
      <c r="E12" s="17"/>
    </row>
    <row r="13" spans="1:7" ht="15.75" thickBot="1" x14ac:dyDescent="0.3">
      <c r="E13" s="17"/>
    </row>
  </sheetData>
  <conditionalFormatting sqref="A12:A21">
    <cfRule type="duplicateValues" dxfId="8" priority="2"/>
    <cfRule type="duplicateValues" dxfId="7" priority="4"/>
  </conditionalFormatting>
  <conditionalFormatting sqref="F1">
    <cfRule type="duplicateValues" dxfId="6"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A3DA-6EFE-47F3-A860-43761C357BB9}">
  <dimension ref="A1:F9"/>
  <sheetViews>
    <sheetView zoomScaleNormal="100" workbookViewId="0">
      <selection activeCell="D17" sqref="D17"/>
    </sheetView>
  </sheetViews>
  <sheetFormatPr defaultRowHeight="15" x14ac:dyDescent="0.25"/>
  <cols>
    <col min="1" max="1" width="39.28515625" bestFit="1" customWidth="1"/>
    <col min="2" max="2" width="78.5703125" bestFit="1" customWidth="1"/>
    <col min="3" max="3" width="27.140625" customWidth="1"/>
    <col min="4" max="4" width="24.28515625" style="1" bestFit="1" customWidth="1"/>
    <col min="5" max="5" width="54.7109375" style="1" customWidth="1"/>
  </cols>
  <sheetData>
    <row r="1" spans="1:6" x14ac:dyDescent="0.25">
      <c r="A1" s="2" t="s">
        <v>0</v>
      </c>
      <c r="B1" s="2" t="s">
        <v>1</v>
      </c>
      <c r="C1" s="2" t="s">
        <v>17</v>
      </c>
      <c r="D1" s="2" t="s">
        <v>5</v>
      </c>
      <c r="E1" s="2" t="s">
        <v>6</v>
      </c>
      <c r="F1" s="7" t="s">
        <v>46</v>
      </c>
    </row>
    <row r="2" spans="1:6" ht="18" thickBot="1" x14ac:dyDescent="0.35">
      <c r="A2" s="33" t="s">
        <v>101</v>
      </c>
      <c r="B2" s="22" t="s">
        <v>102</v>
      </c>
      <c r="C2" s="8"/>
      <c r="D2" s="16" t="s">
        <v>165</v>
      </c>
      <c r="E2" s="17" t="s">
        <v>166</v>
      </c>
      <c r="F2" t="str">
        <f>SUBSTITUTE(TRIM(LOWER(A2)), " ", "_")</f>
        <v>expertise_in_state-of-the-art_technologies</v>
      </c>
    </row>
    <row r="3" spans="1:6" ht="18" thickBot="1" x14ac:dyDescent="0.35">
      <c r="A3" s="34" t="s">
        <v>103</v>
      </c>
      <c r="B3" s="22" t="s">
        <v>104</v>
      </c>
      <c r="C3" s="8"/>
      <c r="D3" s="16" t="s">
        <v>167</v>
      </c>
      <c r="E3" s="17" t="s">
        <v>168</v>
      </c>
      <c r="F3" t="str">
        <f t="shared" ref="F3:F5" si="0">SUBSTITUTE(TRIM(LOWER(A3)), " ", "_")</f>
        <v>customized_solutions</v>
      </c>
    </row>
    <row r="4" spans="1:6" ht="18" thickBot="1" x14ac:dyDescent="0.35">
      <c r="A4" s="34" t="s">
        <v>105</v>
      </c>
      <c r="B4" s="22" t="s">
        <v>106</v>
      </c>
      <c r="D4" s="16" t="s">
        <v>169</v>
      </c>
      <c r="E4" s="17" t="s">
        <v>170</v>
      </c>
      <c r="F4" t="str">
        <f t="shared" si="0"/>
        <v>dedicated_support</v>
      </c>
    </row>
    <row r="5" spans="1:6" ht="18" thickBot="1" x14ac:dyDescent="0.35">
      <c r="A5" s="34" t="s">
        <v>107</v>
      </c>
      <c r="B5" s="22" t="s">
        <v>108</v>
      </c>
      <c r="D5" s="16" t="s">
        <v>171</v>
      </c>
      <c r="E5" s="17" t="s">
        <v>172</v>
      </c>
      <c r="F5" t="str">
        <f t="shared" si="0"/>
        <v>proven_track_record</v>
      </c>
    </row>
    <row r="8" spans="1:6" ht="15.75" thickBot="1" x14ac:dyDescent="0.3"/>
    <row r="9" spans="1:6" ht="15.75" thickBot="1" x14ac:dyDescent="0.3">
      <c r="D9" s="25"/>
      <c r="E9" s="24"/>
    </row>
  </sheetData>
  <conditionalFormatting sqref="F1">
    <cfRule type="duplicateValues" dxfId="5"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9651-7655-49DC-A9EA-25FE1D83167D}">
  <dimension ref="A1:F15"/>
  <sheetViews>
    <sheetView zoomScale="85" zoomScaleNormal="85" workbookViewId="0">
      <selection activeCell="B14" sqref="B14"/>
    </sheetView>
  </sheetViews>
  <sheetFormatPr defaultRowHeight="15" x14ac:dyDescent="0.25"/>
  <cols>
    <col min="1" max="1" width="48.140625" customWidth="1"/>
    <col min="2" max="2" width="99.85546875" bestFit="1" customWidth="1"/>
    <col min="3" max="3" width="16.42578125" customWidth="1"/>
    <col min="4" max="4" width="22" bestFit="1" customWidth="1"/>
    <col min="5" max="5" width="72.42578125" bestFit="1" customWidth="1"/>
  </cols>
  <sheetData>
    <row r="1" spans="1:6" x14ac:dyDescent="0.25">
      <c r="A1" s="2" t="s">
        <v>0</v>
      </c>
      <c r="B1" s="2" t="s">
        <v>1</v>
      </c>
      <c r="C1" s="2" t="s">
        <v>17</v>
      </c>
      <c r="D1" s="2" t="s">
        <v>5</v>
      </c>
      <c r="E1" s="2" t="s">
        <v>6</v>
      </c>
      <c r="F1" s="7" t="s">
        <v>46</v>
      </c>
    </row>
    <row r="2" spans="1:6" ht="18" thickBot="1" x14ac:dyDescent="0.3">
      <c r="A2" s="29" t="s">
        <v>87</v>
      </c>
      <c r="B2" s="30" t="s">
        <v>88</v>
      </c>
      <c r="C2" s="10"/>
      <c r="D2" s="31" t="s">
        <v>173</v>
      </c>
      <c r="E2" s="32" t="s">
        <v>174</v>
      </c>
      <c r="F2" s="14" t="str">
        <f>SUBSTITUTE(TRIM(LOWER(A2)), " ", "_")</f>
        <v>modern_design_aesthetics</v>
      </c>
    </row>
    <row r="3" spans="1:6" ht="18" thickBot="1" x14ac:dyDescent="0.3">
      <c r="A3" s="29" t="s">
        <v>89</v>
      </c>
      <c r="B3" s="30" t="s">
        <v>90</v>
      </c>
      <c r="C3" s="10"/>
      <c r="D3" s="31" t="s">
        <v>175</v>
      </c>
      <c r="E3" s="32" t="s">
        <v>176</v>
      </c>
      <c r="F3" s="14" t="str">
        <f t="shared" ref="F3:F8" si="0">SUBSTITUTE(TRIM(LOWER(A3)), " ", "_")</f>
        <v>cross-platform_compatibility</v>
      </c>
    </row>
    <row r="4" spans="1:6" ht="18" thickBot="1" x14ac:dyDescent="0.3">
      <c r="A4" s="29" t="s">
        <v>93</v>
      </c>
      <c r="B4" s="30" t="s">
        <v>91</v>
      </c>
      <c r="C4" s="10"/>
      <c r="D4" s="31" t="s">
        <v>177</v>
      </c>
      <c r="E4" s="32" t="s">
        <v>178</v>
      </c>
      <c r="F4" s="14" t="str">
        <f t="shared" si="0"/>
        <v>scalability</v>
      </c>
    </row>
    <row r="5" spans="1:6" ht="17.25" thickBot="1" x14ac:dyDescent="0.3">
      <c r="A5" s="10" t="s">
        <v>94</v>
      </c>
      <c r="B5" s="30" t="s">
        <v>92</v>
      </c>
      <c r="C5" s="10"/>
      <c r="D5" s="31" t="s">
        <v>179</v>
      </c>
      <c r="E5" s="32" t="s">
        <v>180</v>
      </c>
      <c r="F5" s="14" t="str">
        <f t="shared" si="0"/>
        <v>performance</v>
      </c>
    </row>
    <row r="6" spans="1:6" ht="29.25" thickBot="1" x14ac:dyDescent="0.3">
      <c r="A6" s="29" t="s">
        <v>95</v>
      </c>
      <c r="B6" s="30" t="s">
        <v>96</v>
      </c>
      <c r="C6" s="10"/>
      <c r="D6" s="31" t="s">
        <v>181</v>
      </c>
      <c r="E6" s="32" t="s">
        <v>182</v>
      </c>
      <c r="F6" s="14" t="str">
        <f t="shared" si="0"/>
        <v>user-friendly_cms</v>
      </c>
    </row>
    <row r="7" spans="1:6" ht="18" thickBot="1" x14ac:dyDescent="0.3">
      <c r="A7" s="29" t="s">
        <v>97</v>
      </c>
      <c r="B7" s="30" t="s">
        <v>98</v>
      </c>
      <c r="C7" s="10"/>
      <c r="D7" s="31" t="s">
        <v>183</v>
      </c>
      <c r="E7" s="32" t="s">
        <v>184</v>
      </c>
      <c r="F7" s="14" t="str">
        <f t="shared" si="0"/>
        <v>seo_optimization</v>
      </c>
    </row>
    <row r="8" spans="1:6" ht="18" thickBot="1" x14ac:dyDescent="0.3">
      <c r="A8" s="29" t="s">
        <v>99</v>
      </c>
      <c r="B8" s="30" t="s">
        <v>132</v>
      </c>
      <c r="C8" s="10"/>
      <c r="D8" s="31" t="s">
        <v>185</v>
      </c>
      <c r="E8" s="32" t="s">
        <v>186</v>
      </c>
      <c r="F8" s="14" t="str">
        <f t="shared" si="0"/>
        <v>accessibility</v>
      </c>
    </row>
    <row r="9" spans="1:6" ht="18" thickBot="1" x14ac:dyDescent="0.35">
      <c r="A9" s="22"/>
      <c r="B9" s="23"/>
      <c r="D9" s="16"/>
      <c r="E9" s="17"/>
    </row>
    <row r="10" spans="1:6" ht="18" thickBot="1" x14ac:dyDescent="0.35">
      <c r="A10" s="22"/>
      <c r="B10" s="23"/>
      <c r="D10" s="16"/>
      <c r="E10" s="17"/>
    </row>
    <row r="11" spans="1:6" ht="18" thickBot="1" x14ac:dyDescent="0.35">
      <c r="A11" s="22"/>
      <c r="B11" s="23"/>
      <c r="D11" s="16"/>
      <c r="E11" s="17"/>
    </row>
    <row r="12" spans="1:6" ht="18" thickBot="1" x14ac:dyDescent="0.35">
      <c r="A12" s="22"/>
      <c r="B12" s="23"/>
      <c r="D12" s="16"/>
      <c r="E12" s="17"/>
    </row>
    <row r="13" spans="1:6" ht="18" thickBot="1" x14ac:dyDescent="0.35">
      <c r="A13" s="22"/>
      <c r="B13" s="23"/>
      <c r="D13" s="16"/>
      <c r="E13" s="17"/>
    </row>
    <row r="14" spans="1:6" ht="18" thickBot="1" x14ac:dyDescent="0.35">
      <c r="A14" s="22"/>
      <c r="B14" s="23"/>
      <c r="D14" s="16"/>
      <c r="E14" s="17"/>
    </row>
    <row r="15" spans="1:6" ht="18" thickBot="1" x14ac:dyDescent="0.35">
      <c r="A15" s="22"/>
      <c r="B15" s="23"/>
      <c r="D15" s="16"/>
      <c r="E15" s="17"/>
    </row>
  </sheetData>
  <conditionalFormatting sqref="F1">
    <cfRule type="duplicateValues" dxfId="4"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8BC6-B8C2-4998-B0E4-A70E0497F2BC}">
  <dimension ref="A1:F16"/>
  <sheetViews>
    <sheetView zoomScale="85" zoomScaleNormal="85" workbookViewId="0">
      <selection activeCell="C15" sqref="C15"/>
    </sheetView>
  </sheetViews>
  <sheetFormatPr defaultRowHeight="15" x14ac:dyDescent="0.25"/>
  <cols>
    <col min="1" max="1" width="30" style="38" customWidth="1"/>
    <col min="2" max="2" width="36.85546875" bestFit="1" customWidth="1"/>
    <col min="3" max="5" width="30" customWidth="1"/>
    <col min="6" max="6" width="16" bestFit="1" customWidth="1"/>
  </cols>
  <sheetData>
    <row r="1" spans="1:6" x14ac:dyDescent="0.25">
      <c r="A1" s="7" t="s">
        <v>0</v>
      </c>
      <c r="B1" s="7" t="s">
        <v>1</v>
      </c>
      <c r="C1" s="7" t="s">
        <v>17</v>
      </c>
      <c r="D1" s="7" t="s">
        <v>5</v>
      </c>
      <c r="E1" s="7" t="s">
        <v>6</v>
      </c>
      <c r="F1" s="7" t="s">
        <v>46</v>
      </c>
    </row>
    <row r="2" spans="1:6" ht="17.25" x14ac:dyDescent="0.25">
      <c r="A2" s="36" t="s">
        <v>225</v>
      </c>
      <c r="B2" s="30" t="s">
        <v>238</v>
      </c>
      <c r="C2" s="2"/>
      <c r="D2" s="10"/>
      <c r="E2" s="10"/>
      <c r="F2" s="2" t="s">
        <v>245</v>
      </c>
    </row>
    <row r="3" spans="1:6" ht="17.25" x14ac:dyDescent="0.25">
      <c r="A3" s="36" t="s">
        <v>226</v>
      </c>
      <c r="B3" s="30" t="s">
        <v>237</v>
      </c>
      <c r="C3" s="10"/>
      <c r="D3" s="10"/>
      <c r="E3" s="10"/>
      <c r="F3" t="s">
        <v>246</v>
      </c>
    </row>
    <row r="4" spans="1:6" ht="17.25" x14ac:dyDescent="0.25">
      <c r="A4" s="36" t="s">
        <v>227</v>
      </c>
      <c r="B4" s="30" t="s">
        <v>236</v>
      </c>
      <c r="C4" s="10"/>
      <c r="D4" s="10"/>
      <c r="E4" s="10"/>
      <c r="F4" t="s">
        <v>247</v>
      </c>
    </row>
    <row r="5" spans="1:6" ht="17.25" x14ac:dyDescent="0.25">
      <c r="A5" s="36" t="s">
        <v>228</v>
      </c>
      <c r="B5" s="30" t="s">
        <v>235</v>
      </c>
      <c r="C5" s="10"/>
      <c r="D5" s="10"/>
      <c r="E5" s="10"/>
      <c r="F5" t="s">
        <v>248</v>
      </c>
    </row>
    <row r="6" spans="1:6" ht="17.25" x14ac:dyDescent="0.25">
      <c r="A6" s="36" t="s">
        <v>229</v>
      </c>
      <c r="B6" s="30" t="s">
        <v>239</v>
      </c>
      <c r="C6" s="10"/>
      <c r="D6" s="10"/>
      <c r="E6" s="10"/>
      <c r="F6" t="s">
        <v>249</v>
      </c>
    </row>
    <row r="7" spans="1:6" ht="17.25" x14ac:dyDescent="0.25">
      <c r="A7" s="36" t="s">
        <v>230</v>
      </c>
      <c r="B7" s="30" t="s">
        <v>240</v>
      </c>
      <c r="C7" s="10"/>
      <c r="D7" s="10"/>
      <c r="E7" s="10"/>
      <c r="F7" t="str">
        <f>LOWER(A7)</f>
        <v>wordpress</v>
      </c>
    </row>
    <row r="8" spans="1:6" ht="17.25" x14ac:dyDescent="0.25">
      <c r="A8" s="36" t="s">
        <v>231</v>
      </c>
      <c r="B8" s="30" t="s">
        <v>241</v>
      </c>
      <c r="C8" s="10"/>
      <c r="D8" s="10"/>
      <c r="E8" s="10"/>
      <c r="F8" t="str">
        <f t="shared" ref="F8:F10" si="0">LOWER(A8)</f>
        <v>shopify</v>
      </c>
    </row>
    <row r="9" spans="1:6" ht="16.5" x14ac:dyDescent="0.25">
      <c r="A9" s="38" t="s">
        <v>232</v>
      </c>
      <c r="B9" s="30" t="s">
        <v>242</v>
      </c>
      <c r="C9" s="10"/>
      <c r="D9" s="10"/>
      <c r="E9" s="10"/>
      <c r="F9" t="str">
        <f t="shared" si="0"/>
        <v>flask</v>
      </c>
    </row>
    <row r="10" spans="1:6" ht="17.25" x14ac:dyDescent="0.3">
      <c r="A10" s="37" t="s">
        <v>233</v>
      </c>
      <c r="B10" s="23" t="s">
        <v>243</v>
      </c>
      <c r="D10" s="10"/>
      <c r="E10" s="10"/>
      <c r="F10" t="str">
        <f t="shared" si="0"/>
        <v>boostrap</v>
      </c>
    </row>
    <row r="11" spans="1:6" ht="17.25" x14ac:dyDescent="0.3">
      <c r="A11" s="37" t="s">
        <v>234</v>
      </c>
      <c r="B11" s="23" t="s">
        <v>244</v>
      </c>
      <c r="D11" s="10"/>
      <c r="E11" s="10"/>
      <c r="F11" t="s">
        <v>251</v>
      </c>
    </row>
    <row r="12" spans="1:6" ht="17.25" x14ac:dyDescent="0.3">
      <c r="A12" s="37" t="s">
        <v>252</v>
      </c>
      <c r="B12" s="23" t="s">
        <v>256</v>
      </c>
      <c r="D12" s="10"/>
      <c r="E12" s="10"/>
      <c r="F12" t="s">
        <v>253</v>
      </c>
    </row>
    <row r="13" spans="1:6" ht="17.25" x14ac:dyDescent="0.3">
      <c r="A13" s="37" t="s">
        <v>255</v>
      </c>
      <c r="B13" s="23" t="s">
        <v>257</v>
      </c>
      <c r="D13" s="10"/>
      <c r="E13" s="10"/>
      <c r="F13" t="s">
        <v>254</v>
      </c>
    </row>
    <row r="14" spans="1:6" ht="17.25" x14ac:dyDescent="0.3">
      <c r="A14" s="37"/>
      <c r="B14" s="23"/>
      <c r="D14" s="10"/>
      <c r="E14" s="10"/>
    </row>
    <row r="15" spans="1:6" ht="17.25" x14ac:dyDescent="0.3">
      <c r="A15" s="37"/>
      <c r="B15" s="23"/>
      <c r="D15" s="10"/>
      <c r="E15" s="10"/>
    </row>
    <row r="16" spans="1:6" x14ac:dyDescent="0.25">
      <c r="D16" s="10"/>
      <c r="E16" s="10"/>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4C8F-D76E-4D6E-B370-894F46303512}">
  <dimension ref="A1:G27"/>
  <sheetViews>
    <sheetView zoomScale="115" zoomScaleNormal="115" workbookViewId="0">
      <selection activeCell="D8" sqref="D8"/>
    </sheetView>
  </sheetViews>
  <sheetFormatPr defaultRowHeight="15" x14ac:dyDescent="0.25"/>
  <cols>
    <col min="1" max="1" width="27.5703125" style="11" bestFit="1" customWidth="1"/>
    <col min="2" max="2" width="47.85546875" style="4" customWidth="1"/>
    <col min="3" max="3" width="10.42578125" style="4" customWidth="1"/>
    <col min="4" max="4" width="24.140625" style="4" bestFit="1" customWidth="1"/>
    <col min="5" max="5" width="55" style="4" customWidth="1"/>
    <col min="6" max="6" width="20.140625" style="4" bestFit="1" customWidth="1"/>
    <col min="7" max="7" width="6.42578125" bestFit="1" customWidth="1"/>
  </cols>
  <sheetData>
    <row r="1" spans="1:7" x14ac:dyDescent="0.25">
      <c r="A1" s="10" t="s">
        <v>0</v>
      </c>
      <c r="B1" s="10" t="s">
        <v>1</v>
      </c>
      <c r="C1" s="10" t="s">
        <v>17</v>
      </c>
      <c r="D1" s="10" t="s">
        <v>5</v>
      </c>
      <c r="E1" s="10" t="s">
        <v>6</v>
      </c>
      <c r="F1" s="10" t="s">
        <v>38</v>
      </c>
      <c r="G1" s="7" t="s">
        <v>46</v>
      </c>
    </row>
    <row r="2" spans="1:7" ht="48.75" customHeight="1" thickBot="1" x14ac:dyDescent="0.3">
      <c r="A2" s="27" t="s">
        <v>260</v>
      </c>
      <c r="B2" s="27" t="s">
        <v>142</v>
      </c>
      <c r="D2" s="27" t="s">
        <v>260</v>
      </c>
      <c r="E2" s="27" t="s">
        <v>261</v>
      </c>
      <c r="F2" s="15" t="s">
        <v>47</v>
      </c>
      <c r="G2" s="14" t="s">
        <v>271</v>
      </c>
    </row>
    <row r="3" spans="1:7" ht="43.5" thickBot="1" x14ac:dyDescent="0.3">
      <c r="A3" s="27" t="s">
        <v>133</v>
      </c>
      <c r="B3" s="27" t="s">
        <v>134</v>
      </c>
      <c r="D3" s="27" t="s">
        <v>187</v>
      </c>
      <c r="E3" s="27" t="s">
        <v>188</v>
      </c>
      <c r="F3" s="15" t="s">
        <v>47</v>
      </c>
      <c r="G3" s="14" t="str">
        <f>SUBSTITUTE(TRIM(LOWER(A3)), " ", "_")</f>
        <v>tailored_web_solutions</v>
      </c>
    </row>
    <row r="4" spans="1:7" ht="43.5" thickBot="1" x14ac:dyDescent="0.3">
      <c r="A4" s="27" t="s">
        <v>135</v>
      </c>
      <c r="B4" s="27" t="s">
        <v>136</v>
      </c>
      <c r="D4" s="27" t="s">
        <v>148</v>
      </c>
      <c r="E4" s="27" t="s">
        <v>189</v>
      </c>
      <c r="F4" s="15" t="s">
        <v>47</v>
      </c>
      <c r="G4" s="14" t="str">
        <f t="shared" ref="G4:G7" si="0">SUBSTITUTE(TRIM(LOWER(A4)), " ", "_")</f>
        <v>scalable_e-commerce_solutions</v>
      </c>
    </row>
    <row r="5" spans="1:7" ht="29.25" thickBot="1" x14ac:dyDescent="0.3">
      <c r="A5" s="27" t="s">
        <v>137</v>
      </c>
      <c r="B5" s="27" t="s">
        <v>138</v>
      </c>
      <c r="C5" s="3"/>
      <c r="D5" s="27" t="s">
        <v>273</v>
      </c>
      <c r="E5" s="27" t="s">
        <v>190</v>
      </c>
      <c r="F5" s="15" t="s">
        <v>47</v>
      </c>
      <c r="G5" s="14" t="str">
        <f t="shared" si="0"/>
        <v>intuitive_content_management</v>
      </c>
    </row>
    <row r="6" spans="1:7" ht="43.5" thickBot="1" x14ac:dyDescent="0.3">
      <c r="A6" s="27" t="s">
        <v>139</v>
      </c>
      <c r="B6" s="27" t="s">
        <v>140</v>
      </c>
      <c r="D6" s="27" t="s">
        <v>274</v>
      </c>
      <c r="E6" s="27" t="s">
        <v>191</v>
      </c>
      <c r="F6" s="15" t="s">
        <v>47</v>
      </c>
      <c r="G6" s="14" t="str">
        <f t="shared" si="0"/>
        <v>seamless_responsive_websites</v>
      </c>
    </row>
    <row r="7" spans="1:7" ht="57.75" thickBot="1" x14ac:dyDescent="0.3">
      <c r="A7" s="27" t="s">
        <v>49</v>
      </c>
      <c r="B7" s="27" t="s">
        <v>141</v>
      </c>
      <c r="C7" s="3"/>
      <c r="D7" s="27" t="s">
        <v>275</v>
      </c>
      <c r="E7" s="27" t="s">
        <v>192</v>
      </c>
      <c r="F7" s="15" t="s">
        <v>47</v>
      </c>
      <c r="G7" s="14" t="str">
        <f t="shared" si="0"/>
        <v>mobile_app_development</v>
      </c>
    </row>
    <row r="8" spans="1:7" x14ac:dyDescent="0.25">
      <c r="A8" s="5"/>
      <c r="B8" s="3"/>
      <c r="C8" s="3"/>
      <c r="F8" s="5"/>
    </row>
    <row r="9" spans="1:7" x14ac:dyDescent="0.25">
      <c r="A9" s="5"/>
      <c r="B9" s="3"/>
      <c r="C9" s="3"/>
      <c r="F9" s="5"/>
    </row>
    <row r="10" spans="1:7" ht="15.75" thickBot="1" x14ac:dyDescent="0.3">
      <c r="A10" s="5"/>
      <c r="C10" s="3"/>
      <c r="E10" s="39"/>
      <c r="F10" s="5"/>
    </row>
    <row r="11" spans="1:7" x14ac:dyDescent="0.25">
      <c r="A11" s="5"/>
      <c r="B11" s="3"/>
      <c r="C11" s="3"/>
      <c r="F11" s="5"/>
    </row>
    <row r="12" spans="1:7" x14ac:dyDescent="0.25">
      <c r="A12" s="5"/>
      <c r="B12" s="3"/>
      <c r="C12" s="3"/>
      <c r="F12" s="5"/>
    </row>
    <row r="13" spans="1:7" x14ac:dyDescent="0.25">
      <c r="A13" s="5"/>
      <c r="B13" s="3"/>
      <c r="C13" s="3"/>
      <c r="D13" s="5"/>
      <c r="E13" s="5"/>
      <c r="F13" s="5"/>
    </row>
    <row r="14" spans="1:7" x14ac:dyDescent="0.25">
      <c r="D14" s="3"/>
    </row>
    <row r="17" spans="4:4" x14ac:dyDescent="0.25">
      <c r="D17" s="3"/>
    </row>
    <row r="18" spans="4:4" x14ac:dyDescent="0.25">
      <c r="D18" s="3"/>
    </row>
    <row r="19" spans="4:4" x14ac:dyDescent="0.25">
      <c r="D19" s="3"/>
    </row>
    <row r="20" spans="4:4" x14ac:dyDescent="0.25">
      <c r="D20" s="3"/>
    </row>
    <row r="21" spans="4:4" x14ac:dyDescent="0.25">
      <c r="D21" s="3"/>
    </row>
    <row r="22" spans="4:4" x14ac:dyDescent="0.25">
      <c r="D22" s="3"/>
    </row>
    <row r="23" spans="4:4" x14ac:dyDescent="0.25">
      <c r="D23" s="3"/>
    </row>
    <row r="24" spans="4:4" x14ac:dyDescent="0.25">
      <c r="D24" s="3"/>
    </row>
    <row r="25" spans="4:4" x14ac:dyDescent="0.25">
      <c r="D25" s="3"/>
    </row>
    <row r="26" spans="4:4" x14ac:dyDescent="0.25">
      <c r="D26" s="3"/>
    </row>
    <row r="27" spans="4:4" x14ac:dyDescent="0.25">
      <c r="D27" s="3"/>
    </row>
  </sheetData>
  <conditionalFormatting sqref="A8:A13">
    <cfRule type="duplicateValues" dxfId="3" priority="6"/>
  </conditionalFormatting>
  <conditionalFormatting sqref="G1">
    <cfRule type="duplicateValues" dxfId="2"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41FD-3F18-44C9-A919-AF4192647E2D}">
  <dimension ref="A1:L1"/>
  <sheetViews>
    <sheetView tabSelected="1" workbookViewId="0">
      <selection activeCell="L21" sqref="L21"/>
    </sheetView>
  </sheetViews>
  <sheetFormatPr defaultRowHeight="15" x14ac:dyDescent="0.25"/>
  <cols>
    <col min="1" max="1" width="10.7109375" bestFit="1" customWidth="1"/>
    <col min="2" max="2" width="11" bestFit="1" customWidth="1"/>
    <col min="3" max="3" width="8.5703125" bestFit="1" customWidth="1"/>
    <col min="4" max="4" width="9" bestFit="1" customWidth="1"/>
    <col min="5" max="5" width="7.85546875" bestFit="1" customWidth="1"/>
    <col min="6" max="6" width="4.7109375" bestFit="1" customWidth="1"/>
    <col min="7" max="7" width="8.7109375" bestFit="1" customWidth="1"/>
    <col min="8" max="8" width="13.85546875" bestFit="1" customWidth="1"/>
    <col min="9" max="9" width="11.28515625" bestFit="1" customWidth="1"/>
    <col min="10" max="10" width="11.7109375" bestFit="1" customWidth="1"/>
    <col min="11" max="11" width="10.5703125" bestFit="1" customWidth="1"/>
  </cols>
  <sheetData>
    <row r="1" spans="1:12" x14ac:dyDescent="0.25">
      <c r="A1" t="s">
        <v>0</v>
      </c>
      <c r="B1" t="s">
        <v>1</v>
      </c>
      <c r="C1" t="s">
        <v>21</v>
      </c>
      <c r="D1" t="s">
        <v>34</v>
      </c>
      <c r="E1" t="s">
        <v>35</v>
      </c>
      <c r="F1" t="s">
        <v>17</v>
      </c>
      <c r="G1" t="s">
        <v>5</v>
      </c>
      <c r="H1" t="s">
        <v>6</v>
      </c>
      <c r="I1" t="s">
        <v>23</v>
      </c>
      <c r="J1" t="s">
        <v>36</v>
      </c>
      <c r="K1" t="s">
        <v>37</v>
      </c>
      <c r="L1" s="7" t="s">
        <v>46</v>
      </c>
    </row>
  </sheetData>
  <conditionalFormatting sqref="A5:A6">
    <cfRule type="duplicateValues" dxfId="1" priority="2"/>
  </conditionalFormatting>
  <conditionalFormatting sqref="L1">
    <cfRule type="duplicateValues" dxfId="0" priority="1"/>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C2BA-718C-499F-ABD4-220DCAFBDBDE}">
  <dimension ref="B2:C10"/>
  <sheetViews>
    <sheetView workbookViewId="0">
      <selection activeCell="C18" sqref="C18"/>
    </sheetView>
  </sheetViews>
  <sheetFormatPr defaultRowHeight="15" x14ac:dyDescent="0.25"/>
  <cols>
    <col min="2" max="2" width="20.5703125" bestFit="1" customWidth="1"/>
    <col min="3" max="3" width="128.5703125" bestFit="1" customWidth="1"/>
  </cols>
  <sheetData>
    <row r="2" spans="2:3" ht="15.75" thickBot="1" x14ac:dyDescent="0.3"/>
    <row r="3" spans="2:3" ht="15.75" thickBot="1" x14ac:dyDescent="0.3">
      <c r="B3" s="18" t="s">
        <v>67</v>
      </c>
      <c r="C3" s="19" t="s">
        <v>68</v>
      </c>
    </row>
    <row r="4" spans="2:3" ht="15.75" thickBot="1" x14ac:dyDescent="0.3">
      <c r="B4" s="20" t="s">
        <v>69</v>
      </c>
      <c r="C4" s="21" t="s">
        <v>70</v>
      </c>
    </row>
    <row r="5" spans="2:3" ht="15.75" thickBot="1" x14ac:dyDescent="0.3">
      <c r="B5" s="20" t="s">
        <v>71</v>
      </c>
      <c r="C5" s="21" t="s">
        <v>72</v>
      </c>
    </row>
    <row r="6" spans="2:3" ht="15.75" thickBot="1" x14ac:dyDescent="0.3">
      <c r="B6" s="20" t="s">
        <v>73</v>
      </c>
      <c r="C6" s="21" t="s">
        <v>74</v>
      </c>
    </row>
    <row r="7" spans="2:3" ht="15.75" thickBot="1" x14ac:dyDescent="0.3">
      <c r="B7" s="20" t="s">
        <v>75</v>
      </c>
      <c r="C7" s="21" t="s">
        <v>76</v>
      </c>
    </row>
    <row r="8" spans="2:3" ht="15.75" thickBot="1" x14ac:dyDescent="0.3">
      <c r="B8" s="20" t="s">
        <v>77</v>
      </c>
      <c r="C8" s="21" t="s">
        <v>78</v>
      </c>
    </row>
    <row r="9" spans="2:3" ht="15.75" thickBot="1" x14ac:dyDescent="0.3">
      <c r="B9" s="20" t="s">
        <v>79</v>
      </c>
      <c r="C9" s="21" t="s">
        <v>80</v>
      </c>
    </row>
    <row r="10" spans="2:3" ht="15.75" thickBot="1" x14ac:dyDescent="0.3">
      <c r="B10" s="20" t="s">
        <v>81</v>
      </c>
      <c r="C10" s="21" t="s">
        <v>82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site</vt:lpstr>
      <vt:lpstr>sitemetadata</vt:lpstr>
      <vt:lpstr>project</vt:lpstr>
      <vt:lpstr>business_category</vt:lpstr>
      <vt:lpstr>teammember</vt:lpstr>
      <vt:lpstr>service</vt:lpstr>
      <vt:lpstr>marketing</vt:lpstr>
      <vt:lpstr>feature</vt:lpstr>
      <vt:lpstr>framework</vt:lpstr>
      <vt:lpstr>offering</vt:lpstr>
      <vt:lpstr>testimonial</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Hamoud</cp:lastModifiedBy>
  <dcterms:created xsi:type="dcterms:W3CDTF">2015-06-05T18:17:20Z</dcterms:created>
  <dcterms:modified xsi:type="dcterms:W3CDTF">2026-03-29T21:17:49Z</dcterms:modified>
</cp:coreProperties>
</file>